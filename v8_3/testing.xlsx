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ocuments\GitHub\labsupply\Julia\CCP_Models\ArcidiaconoMiller2011_modified\v8_3\"/>
    </mc:Choice>
  </mc:AlternateContent>
  <xr:revisionPtr revIDLastSave="0" documentId="13_ncr:1_{6F248759-8C26-46DC-B3DB-BBA5B436AF96}" xr6:coauthVersionLast="47" xr6:coauthVersionMax="47" xr10:uidLastSave="{00000000-0000-0000-0000-000000000000}"/>
  <bookViews>
    <workbookView xWindow="-24120" yWindow="-270" windowWidth="24240" windowHeight="13140" activeTab="4" xr2:uid="{FC33CE33-DAB5-44BA-A534-E61D008AD43B}"/>
  </bookViews>
  <sheets>
    <sheet name="Sheet1" sheetId="1" r:id="rId1"/>
    <sheet name="MC1" sheetId="2" r:id="rId2"/>
    <sheet name="MC2" sheetId="3" r:id="rId3"/>
    <sheet name="test_MC2" sheetId="4" r:id="rId4"/>
    <sheet name="MC3" sheetId="5" r:id="rId5"/>
  </sheets>
  <definedNames>
    <definedName name="ExternalData_1" localSheetId="3" hidden="1">test_MC2!$A$1:$E$33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" l="1"/>
  <c r="G11" i="5"/>
  <c r="C11" i="5"/>
  <c r="D11" i="5"/>
  <c r="E11" i="5"/>
  <c r="F11" i="5"/>
  <c r="B11" i="5"/>
  <c r="C10" i="5"/>
  <c r="D10" i="5"/>
  <c r="E10" i="5"/>
  <c r="F10" i="5"/>
  <c r="B10" i="5"/>
  <c r="C11" i="3"/>
  <c r="D11" i="3"/>
  <c r="E11" i="3"/>
  <c r="F11" i="3"/>
  <c r="B11" i="3"/>
  <c r="C10" i="3"/>
  <c r="D10" i="3"/>
  <c r="E10" i="3"/>
  <c r="F10" i="3"/>
  <c r="B10" i="3"/>
  <c r="H2" i="4"/>
  <c r="I2" i="4"/>
  <c r="J2" i="4"/>
  <c r="K2" i="4"/>
  <c r="H3" i="4"/>
  <c r="I3" i="4"/>
  <c r="J3" i="4"/>
  <c r="K3" i="4"/>
  <c r="H5" i="4"/>
  <c r="I5" i="4"/>
  <c r="J5" i="4"/>
  <c r="K5" i="4"/>
  <c r="H7" i="4"/>
  <c r="I7" i="4"/>
  <c r="J7" i="4"/>
  <c r="K7" i="4"/>
  <c r="H8" i="4"/>
  <c r="I8" i="4"/>
  <c r="J8" i="4"/>
  <c r="K8" i="4"/>
  <c r="H9" i="4"/>
  <c r="I9" i="4"/>
  <c r="J9" i="4"/>
  <c r="K9" i="4"/>
  <c r="H10" i="4"/>
  <c r="I10" i="4"/>
  <c r="J10" i="4"/>
  <c r="K10" i="4"/>
  <c r="H11" i="4"/>
  <c r="I11" i="4"/>
  <c r="J11" i="4"/>
  <c r="K11" i="4"/>
  <c r="H12" i="4"/>
  <c r="I12" i="4"/>
  <c r="J12" i="4"/>
  <c r="K12" i="4"/>
  <c r="H13" i="4"/>
  <c r="I13" i="4"/>
  <c r="J13" i="4"/>
  <c r="K13" i="4"/>
  <c r="H15" i="4"/>
  <c r="I15" i="4"/>
  <c r="J15" i="4"/>
  <c r="K15" i="4"/>
  <c r="H16" i="4"/>
  <c r="I16" i="4"/>
  <c r="J16" i="4"/>
  <c r="K16" i="4"/>
  <c r="H17" i="4"/>
  <c r="I17" i="4"/>
  <c r="J17" i="4"/>
  <c r="K17" i="4"/>
  <c r="H18" i="4"/>
  <c r="I18" i="4"/>
  <c r="J18" i="4"/>
  <c r="K18" i="4"/>
  <c r="H19" i="4"/>
  <c r="I19" i="4"/>
  <c r="J19" i="4"/>
  <c r="K19" i="4"/>
  <c r="H20" i="4"/>
  <c r="I20" i="4"/>
  <c r="J20" i="4"/>
  <c r="K20" i="4"/>
  <c r="H21" i="4"/>
  <c r="I21" i="4"/>
  <c r="J21" i="4"/>
  <c r="K21" i="4"/>
  <c r="H22" i="4"/>
  <c r="I22" i="4"/>
  <c r="J22" i="4"/>
  <c r="K22" i="4"/>
  <c r="H23" i="4"/>
  <c r="I23" i="4"/>
  <c r="J23" i="4"/>
  <c r="K23" i="4"/>
  <c r="H24" i="4"/>
  <c r="I24" i="4"/>
  <c r="J24" i="4"/>
  <c r="K24" i="4"/>
  <c r="H25" i="4"/>
  <c r="I25" i="4"/>
  <c r="J25" i="4"/>
  <c r="K25" i="4"/>
  <c r="H26" i="4"/>
  <c r="I26" i="4"/>
  <c r="J26" i="4"/>
  <c r="K26" i="4"/>
  <c r="H27" i="4"/>
  <c r="I27" i="4"/>
  <c r="J27" i="4"/>
  <c r="K27" i="4"/>
  <c r="H28" i="4"/>
  <c r="I28" i="4"/>
  <c r="J28" i="4"/>
  <c r="K28" i="4"/>
  <c r="H29" i="4"/>
  <c r="I29" i="4"/>
  <c r="J29" i="4"/>
  <c r="K29" i="4"/>
  <c r="H30" i="4"/>
  <c r="I30" i="4"/>
  <c r="J30" i="4"/>
  <c r="K30" i="4"/>
  <c r="H31" i="4"/>
  <c r="I31" i="4"/>
  <c r="J31" i="4"/>
  <c r="K31" i="4"/>
  <c r="H32" i="4"/>
  <c r="I32" i="4"/>
  <c r="J32" i="4"/>
  <c r="K32" i="4"/>
  <c r="G3" i="4"/>
  <c r="G5" i="4"/>
  <c r="G7" i="4"/>
  <c r="G8" i="4"/>
  <c r="G9" i="4"/>
  <c r="G10" i="4"/>
  <c r="G11" i="4"/>
  <c r="G12" i="4"/>
  <c r="G13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2FA602-49B1-4077-B27A-9A346917DD3B}" keepAlive="1" name="Query - test" description="Connection to the 'test' query in the workbook." type="5" refreshedVersion="8" background="1" saveData="1">
    <dbPr connection="Provider=Microsoft.Mashup.OleDb.1;Data Source=$Workbook$;Location=test;Extended Properties=&quot;&quot;" command="SELECT * FROM [test]"/>
  </connection>
  <connection id="2" xr16:uid="{EF023804-C722-4BA2-8F4E-179C182977A4}" keepAlive="1" name="Query - test (2)" description="Connection to the 'test (2)' query in the workbook." type="5" refreshedVersion="8" background="1" saveData="1">
    <dbPr connection="Provider=Microsoft.Mashup.OleDb.1;Data Source=$Workbook$;Location=&quot;test (2)&quot;;Extended Properties=&quot;&quot;" command="SELECT * FROM [test (2)]"/>
  </connection>
  <connection id="3" xr16:uid="{816F201F-EF67-412E-B1A6-E8CEAA8667B1}" keepAlive="1" name="Query - test_MC3" description="Connection to the 'test_MC3' query in the workbook." type="5" refreshedVersion="0" background="1">
    <dbPr connection="Provider=Microsoft.Mashup.OleDb.1;Data Source=$Workbook$;Location=test_MC3;Extended Properties=&quot;&quot;" command="SELECT * FROM [test_MC3]"/>
  </connection>
  <connection id="4" xr16:uid="{25B4C81E-7161-4471-AE8E-A7676971AD07}" keepAlive="1" name="Query - test_MC3 (2)" description="Connection to the 'test_MC3 (2)' query in the workbook." type="5" refreshedVersion="0" background="1">
    <dbPr connection="Provider=Microsoft.Mashup.OleDb.1;Data Source=$Workbook$;Location=&quot;test_MC3 (2)&quot;;Extended Properties=&quot;&quot;" command="SELECT * FROM [test_MC3 (2)]"/>
  </connection>
</connections>
</file>

<file path=xl/sharedStrings.xml><?xml version="1.0" encoding="utf-8"?>
<sst xmlns="http://schemas.openxmlformats.org/spreadsheetml/2006/main" count="279" uniqueCount="127">
  <si>
    <t>P_male</t>
  </si>
  <si>
    <t>bk constant</t>
  </si>
  <si>
    <t>bk slope</t>
  </si>
  <si>
    <t>T</t>
  </si>
  <si>
    <t>T2</t>
  </si>
  <si>
    <t>N_</t>
  </si>
  <si>
    <t>Ptype==Ptrue</t>
  </si>
  <si>
    <t>mean(marriedhh)</t>
  </si>
  <si>
    <t>Fails to estimate</t>
  </si>
  <si>
    <t>--</t>
  </si>
  <si>
    <t>accuracy</t>
  </si>
  <si>
    <t>bk constant estimated at -3.3, slight bias on alpha</t>
  </si>
  <si>
    <t>bk constant estimated at -3.35, slight bias on alpha</t>
  </si>
  <si>
    <t>bccp_true</t>
  </si>
  <si>
    <t>bk_const</t>
  </si>
  <si>
    <t>alpha[1]</t>
  </si>
  <si>
    <t>alpha[2]</t>
  </si>
  <si>
    <t>alpha[3]</t>
  </si>
  <si>
    <t>alpha[4]</t>
  </si>
  <si>
    <t>Adj[2]</t>
  </si>
  <si>
    <t>Adj[3]</t>
  </si>
  <si>
    <t>Adj[4]</t>
  </si>
  <si>
    <t>Adj[5]</t>
  </si>
  <si>
    <t>Adj[6]</t>
  </si>
  <si>
    <t>Adj[7]</t>
  </si>
  <si>
    <t>Adj[8]</t>
  </si>
  <si>
    <t>Adj[9]</t>
  </si>
  <si>
    <t>Adj[10]</t>
  </si>
  <si>
    <t>Adj[11]</t>
  </si>
  <si>
    <t>Adj[12]</t>
  </si>
  <si>
    <t>Adj[13]</t>
  </si>
  <si>
    <t>Adj[14]</t>
  </si>
  <si>
    <t>Adj[15]</t>
  </si>
  <si>
    <t>mean(bccp_hat)</t>
  </si>
  <si>
    <t>bccp_hat_MC1</t>
  </si>
  <si>
    <t>bccp_hat_MC2</t>
  </si>
  <si>
    <t>bccp_hat_MC3</t>
  </si>
  <si>
    <t>bccp_hat_MC4</t>
  </si>
  <si>
    <t>bccp_hat_MC5</t>
  </si>
  <si>
    <t>bccp_hat_MC6</t>
  </si>
  <si>
    <t>bccp_hat_MC7</t>
  </si>
  <si>
    <t>bccp_hat_MC8</t>
  </si>
  <si>
    <t>bccp_hat_MC9</t>
  </si>
  <si>
    <t>bccp_hat_MC10</t>
  </si>
  <si>
    <t>bccp_hat_MC11</t>
  </si>
  <si>
    <t>bccp_hat_MC12</t>
  </si>
  <si>
    <t>bccp_hat_MC13</t>
  </si>
  <si>
    <t>bccp_hat_MC14</t>
  </si>
  <si>
    <t>bccp_hat_MC15</t>
  </si>
  <si>
    <t>bccp_hat_MC16</t>
  </si>
  <si>
    <t>bccp_hat_MC17</t>
  </si>
  <si>
    <t>bccp_hat_MC18</t>
  </si>
  <si>
    <t>bccp_hat_MC19</t>
  </si>
  <si>
    <t>bccp_hat_MC20</t>
  </si>
  <si>
    <t>bccp_hat_MC21</t>
  </si>
  <si>
    <t>bccp_hat_MC22</t>
  </si>
  <si>
    <t>bccp_hat_MC23</t>
  </si>
  <si>
    <t>bccp_hat_MC24</t>
  </si>
  <si>
    <t>bccp_hat_MC25</t>
  </si>
  <si>
    <t>bccp_hat_MC26</t>
  </si>
  <si>
    <t>bccp_hat_MC27</t>
  </si>
  <si>
    <t>bccp_hat_MC28</t>
  </si>
  <si>
    <t>bccp_hat_MC29</t>
  </si>
  <si>
    <t>bccp_hat_MC30</t>
  </si>
  <si>
    <t>bccp_hat_MC31</t>
  </si>
  <si>
    <t>bccp_hat_MC32</t>
  </si>
  <si>
    <t>bccp_hat_MC33</t>
  </si>
  <si>
    <t>bccp_hat_MC34</t>
  </si>
  <si>
    <t>bccp_hat_MC35</t>
  </si>
  <si>
    <t>bccp_hat_MC36</t>
  </si>
  <si>
    <t>bccp_hat_MC37</t>
  </si>
  <si>
    <t>bccp_hat_MC38</t>
  </si>
  <si>
    <t>bccp_hat_MC39</t>
  </si>
  <si>
    <t>bccp_hat_MC40</t>
  </si>
  <si>
    <t>bccp_hat_MC41</t>
  </si>
  <si>
    <t>bccp_hat_MC42</t>
  </si>
  <si>
    <t>bccp_hat_MC43</t>
  </si>
  <si>
    <t>bccp_hat_MC44</t>
  </si>
  <si>
    <t>bccp_hat_MC45</t>
  </si>
  <si>
    <t>bccp_hat_MC46</t>
  </si>
  <si>
    <t>bccp_hat_MC47</t>
  </si>
  <si>
    <t>bccp_hat_MC48</t>
  </si>
  <si>
    <t>bccp_hat_MC49</t>
  </si>
  <si>
    <t>bccp_hat_MC50</t>
  </si>
  <si>
    <t>std(bccp_hat)</t>
  </si>
  <si>
    <t>Beta</t>
  </si>
  <si>
    <t>Pi_m</t>
  </si>
  <si>
    <t>Pi_m_hat</t>
  </si>
  <si>
    <t>Pi_f_hat</t>
  </si>
  <si>
    <t>Pi_f</t>
  </si>
  <si>
    <t>mean(skipmissing(dt_CPU.marriedhh))</t>
  </si>
  <si>
    <t>xspace</t>
  </si>
  <si>
    <t>P_drop</t>
  </si>
  <si>
    <t>P_sample</t>
  </si>
  <si>
    <t xml:space="preserve">xval </t>
  </si>
  <si>
    <t>zval</t>
  </si>
  <si>
    <t>[0.0]</t>
  </si>
  <si>
    <t>hval</t>
  </si>
  <si>
    <t>[1.0]</t>
  </si>
  <si>
    <t>[0:.25:10]</t>
  </si>
  <si>
    <t>precision</t>
  </si>
  <si>
    <t>Float32</t>
  </si>
  <si>
    <t>Column1</t>
  </si>
  <si>
    <t>Column2</t>
  </si>
  <si>
    <t>Column3</t>
  </si>
  <si>
    <t>Column4</t>
  </si>
  <si>
    <t>Column5</t>
  </si>
  <si>
    <t>1.04858f6</t>
  </si>
  <si>
    <t>-4.1943f6</t>
  </si>
  <si>
    <t>65535.6</t>
  </si>
  <si>
    <t>-2.62144f5</t>
  </si>
  <si>
    <t>32766.9</t>
  </si>
  <si>
    <t>8.39607f6</t>
  </si>
  <si>
    <t>-1.67772f7</t>
  </si>
  <si>
    <t>-5.24288f5</t>
  </si>
  <si>
    <t>8.38861f6</t>
  </si>
  <si>
    <t>65535.2</t>
  </si>
  <si>
    <t>4.1943f6</t>
  </si>
  <si>
    <t>-2.62145f5</t>
  </si>
  <si>
    <t>-6.71089f7</t>
  </si>
  <si>
    <t>6.71089f7</t>
  </si>
  <si>
    <t>-1.04858f6</t>
  </si>
  <si>
    <t>1.67772f7</t>
  </si>
  <si>
    <t>-8.38861f6</t>
  </si>
  <si>
    <t>[0:1:25]</t>
  </si>
  <si>
    <t>Float64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</si>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</sst>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1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EDCD30-9BEB-4C3B-97CC-DE21E1BB228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1F1C78-C4EA-4F9E-896C-D5FD11C45C30}" name="test" displayName="test" ref="A1:E33" tableType="queryTable" totalsRowShown="0">
  <autoFilter ref="A1:E33" xr:uid="{C01F1C78-C4EA-4F9E-896C-D5FD11C45C30}"/>
  <tableColumns count="5">
    <tableColumn id="1" xr3:uid="{E815446A-DECA-4E66-A8CF-8BA23FF04FFF}" uniqueName="1" name="Column1" queryTableFieldId="1" dataDxfId="0"/>
    <tableColumn id="2" xr3:uid="{58E858B1-DFC4-4A81-ADE0-C9987DC6C5BA}" uniqueName="2" name="Column2" queryTableFieldId="2"/>
    <tableColumn id="3" xr3:uid="{7D32AEF2-1F6D-49E9-9B8B-55F5A629ED9B}" uniqueName="3" name="Column3" queryTableFieldId="3"/>
    <tableColumn id="4" xr3:uid="{3050320B-D9BC-4EC5-9950-2753FB48F04A}" uniqueName="4" name="Column4" queryTableFieldId="4"/>
    <tableColumn id="5" xr3:uid="{0B06E966-4A44-415C-9727-0FE735C84127}" uniqueName="5" name="Column5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D8ED-121D-40AD-9F4A-0E31DA5F4F57}">
  <dimension ref="A1:J8"/>
  <sheetViews>
    <sheetView workbookViewId="0">
      <selection activeCell="E1" sqref="E1:G1"/>
    </sheetView>
  </sheetViews>
  <sheetFormatPr defaultRowHeight="15" x14ac:dyDescent="0.25"/>
  <cols>
    <col min="2" max="2" width="7.42578125" bestFit="1" customWidth="1"/>
    <col min="3" max="3" width="11.28515625" bestFit="1" customWidth="1"/>
    <col min="4" max="4" width="8.42578125" bestFit="1" customWidth="1"/>
    <col min="5" max="5" width="4" bestFit="1" customWidth="1"/>
    <col min="6" max="6" width="3" bestFit="1" customWidth="1"/>
    <col min="7" max="7" width="6" bestFit="1" customWidth="1"/>
    <col min="8" max="8" width="12.28515625" bestFit="1" customWidth="1"/>
    <col min="9" max="9" width="16.85546875" bestFit="1" customWidth="1"/>
    <col min="10" max="10" width="45.5703125" customWidth="1"/>
  </cols>
  <sheetData>
    <row r="1" spans="1:10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64</v>
      </c>
      <c r="B2">
        <v>0</v>
      </c>
      <c r="C2">
        <v>-20</v>
      </c>
      <c r="D2" s="1" t="s">
        <v>9</v>
      </c>
      <c r="E2">
        <v>100</v>
      </c>
      <c r="F2">
        <v>10</v>
      </c>
      <c r="G2">
        <v>5000</v>
      </c>
      <c r="H2" t="b">
        <v>0</v>
      </c>
      <c r="I2">
        <v>0</v>
      </c>
      <c r="J2" t="s">
        <v>1</v>
      </c>
    </row>
    <row r="3" spans="1:10" x14ac:dyDescent="0.25">
      <c r="A3">
        <v>64</v>
      </c>
      <c r="B3">
        <v>0</v>
      </c>
      <c r="C3">
        <v>-20</v>
      </c>
      <c r="D3" s="1" t="s">
        <v>9</v>
      </c>
      <c r="E3">
        <v>10</v>
      </c>
      <c r="F3">
        <v>10</v>
      </c>
      <c r="G3">
        <v>5000</v>
      </c>
      <c r="H3" t="b">
        <v>0</v>
      </c>
      <c r="I3">
        <v>0</v>
      </c>
      <c r="J3" t="s">
        <v>1</v>
      </c>
    </row>
    <row r="4" spans="1:10" x14ac:dyDescent="0.25">
      <c r="A4">
        <v>64</v>
      </c>
      <c r="B4">
        <v>1</v>
      </c>
      <c r="C4">
        <v>-20</v>
      </c>
      <c r="D4" s="1" t="s">
        <v>9</v>
      </c>
      <c r="E4">
        <v>10</v>
      </c>
      <c r="F4">
        <v>10</v>
      </c>
      <c r="G4">
        <v>5000</v>
      </c>
      <c r="H4" t="b">
        <v>0</v>
      </c>
      <c r="I4">
        <v>0</v>
      </c>
      <c r="J4" t="s">
        <v>1</v>
      </c>
    </row>
    <row r="5" spans="1:10" x14ac:dyDescent="0.25">
      <c r="A5">
        <v>64</v>
      </c>
      <c r="B5">
        <v>1</v>
      </c>
      <c r="C5">
        <v>-20</v>
      </c>
      <c r="D5" s="1" t="s">
        <v>9</v>
      </c>
      <c r="E5">
        <v>100</v>
      </c>
      <c r="F5">
        <v>10</v>
      </c>
      <c r="G5">
        <v>5000</v>
      </c>
      <c r="H5" t="b">
        <v>0</v>
      </c>
      <c r="I5">
        <v>0</v>
      </c>
      <c r="J5" t="s">
        <v>1</v>
      </c>
    </row>
    <row r="6" spans="1:10" x14ac:dyDescent="0.25">
      <c r="A6">
        <v>64</v>
      </c>
      <c r="B6">
        <v>1</v>
      </c>
      <c r="C6">
        <v>-4</v>
      </c>
      <c r="D6" s="1" t="s">
        <v>9</v>
      </c>
      <c r="E6">
        <v>100</v>
      </c>
      <c r="F6">
        <v>10</v>
      </c>
      <c r="G6">
        <v>5000</v>
      </c>
      <c r="H6" t="b">
        <v>0</v>
      </c>
      <c r="I6">
        <v>0.56320000000000003</v>
      </c>
      <c r="J6" t="s">
        <v>11</v>
      </c>
    </row>
    <row r="7" spans="1:10" x14ac:dyDescent="0.25">
      <c r="A7">
        <v>64</v>
      </c>
      <c r="B7">
        <v>1</v>
      </c>
      <c r="C7">
        <v>-4</v>
      </c>
      <c r="D7" s="1" t="s">
        <v>9</v>
      </c>
      <c r="E7">
        <v>100</v>
      </c>
      <c r="F7">
        <v>10</v>
      </c>
      <c r="G7">
        <v>50000</v>
      </c>
      <c r="H7" t="b">
        <v>0</v>
      </c>
      <c r="I7">
        <v>0.56320000000000003</v>
      </c>
      <c r="J7" t="s">
        <v>12</v>
      </c>
    </row>
    <row r="8" spans="1:10" x14ac:dyDescent="0.25">
      <c r="A8">
        <v>64</v>
      </c>
      <c r="B8">
        <v>1</v>
      </c>
      <c r="C8">
        <v>-4</v>
      </c>
      <c r="D8" s="1" t="s">
        <v>9</v>
      </c>
      <c r="E8">
        <v>500</v>
      </c>
      <c r="F8">
        <v>20</v>
      </c>
      <c r="G8">
        <v>50000</v>
      </c>
      <c r="H8" t="b">
        <v>0</v>
      </c>
      <c r="I8">
        <v>0.56320000000000003</v>
      </c>
      <c r="J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C051-78B6-4C0D-9631-BBFD99BABDFD}">
  <dimension ref="A1:T62"/>
  <sheetViews>
    <sheetView workbookViewId="0">
      <selection activeCell="A13" sqref="A13"/>
    </sheetView>
  </sheetViews>
  <sheetFormatPr defaultRowHeight="15" x14ac:dyDescent="0.25"/>
  <cols>
    <col min="1" max="1" width="15.28515625" customWidth="1"/>
  </cols>
  <sheetData>
    <row r="1" spans="1:20" x14ac:dyDescent="0.25">
      <c r="A1" t="s">
        <v>3</v>
      </c>
      <c r="B1" t="s">
        <v>4</v>
      </c>
      <c r="C1" t="s">
        <v>5</v>
      </c>
      <c r="D1" t="s">
        <v>85</v>
      </c>
      <c r="E1" t="s">
        <v>0</v>
      </c>
      <c r="G1" t="s">
        <v>91</v>
      </c>
    </row>
    <row r="2" spans="1:20" x14ac:dyDescent="0.25">
      <c r="A2">
        <v>15</v>
      </c>
      <c r="B2">
        <v>15</v>
      </c>
      <c r="C2">
        <v>5000</v>
      </c>
      <c r="D2">
        <v>0.9</v>
      </c>
      <c r="E2">
        <v>1</v>
      </c>
      <c r="G2" s="2">
        <v>7.1759259259259259E-4</v>
      </c>
    </row>
    <row r="4" spans="1:20" x14ac:dyDescent="0.25">
      <c r="A4" t="s">
        <v>86</v>
      </c>
      <c r="B4">
        <v>0.4</v>
      </c>
      <c r="C4" t="s">
        <v>87</v>
      </c>
    </row>
    <row r="5" spans="1:20" x14ac:dyDescent="0.25">
      <c r="A5" t="s">
        <v>89</v>
      </c>
      <c r="B5">
        <v>0.4</v>
      </c>
      <c r="C5" t="s">
        <v>88</v>
      </c>
    </row>
    <row r="6" spans="1:20" x14ac:dyDescent="0.25">
      <c r="A6" t="s">
        <v>90</v>
      </c>
      <c r="B6">
        <v>0.55320000000000003</v>
      </c>
    </row>
    <row r="8" spans="1:20" x14ac:dyDescent="0.25"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29</v>
      </c>
      <c r="R8" t="s">
        <v>30</v>
      </c>
      <c r="S8" t="s">
        <v>31</v>
      </c>
      <c r="T8" t="s">
        <v>32</v>
      </c>
    </row>
    <row r="9" spans="1:20" x14ac:dyDescent="0.25">
      <c r="A9" t="s">
        <v>13</v>
      </c>
      <c r="B9">
        <v>-4</v>
      </c>
      <c r="C9">
        <v>2</v>
      </c>
      <c r="D9">
        <v>-0.15</v>
      </c>
      <c r="E9">
        <v>1</v>
      </c>
      <c r="F9">
        <v>-1</v>
      </c>
      <c r="G9">
        <v>-0.55943870544433505</v>
      </c>
      <c r="H9">
        <v>0.116434879601001</v>
      </c>
      <c r="I9">
        <v>0.31556648015975902</v>
      </c>
      <c r="J9">
        <v>-3.5643432289361898E-2</v>
      </c>
      <c r="K9">
        <v>4.8844754695892299E-2</v>
      </c>
      <c r="L9">
        <v>0.15746277570724401</v>
      </c>
      <c r="M9">
        <v>-0.15623565018176999</v>
      </c>
      <c r="N9">
        <v>-0.29828462004661499</v>
      </c>
      <c r="O9">
        <v>-0.27310979366302401</v>
      </c>
      <c r="P9">
        <v>-3.0154235661029798E-2</v>
      </c>
      <c r="Q9">
        <v>-0.428848266601562</v>
      </c>
      <c r="R9">
        <v>-0.44045773148536599</v>
      </c>
      <c r="S9">
        <v>-0.337296932935714</v>
      </c>
      <c r="T9">
        <v>-0.25145256519317599</v>
      </c>
    </row>
    <row r="10" spans="1:20" x14ac:dyDescent="0.25">
      <c r="A10" t="s">
        <v>33</v>
      </c>
      <c r="B10">
        <v>-3.3001317419384901</v>
      </c>
      <c r="C10">
        <v>2.20240333275901</v>
      </c>
      <c r="D10">
        <v>-0.117963967662829</v>
      </c>
      <c r="E10">
        <v>0.850786810150989</v>
      </c>
      <c r="F10">
        <v>-1.0455481227900201</v>
      </c>
      <c r="G10">
        <v>0.159285875078016</v>
      </c>
      <c r="H10">
        <v>4.6815963721596597E-2</v>
      </c>
      <c r="I10">
        <v>1.8577492979523599E-2</v>
      </c>
      <c r="J10">
        <v>-2.31717540975689E-2</v>
      </c>
      <c r="K10">
        <v>3.7889513376970399E-2</v>
      </c>
      <c r="L10">
        <v>-3.1287239110104198E-2</v>
      </c>
      <c r="M10">
        <v>-1.3074466096506501E-2</v>
      </c>
      <c r="N10">
        <v>6.3231229151656895E-2</v>
      </c>
      <c r="O10">
        <v>-1.08650306003033E-2</v>
      </c>
      <c r="P10">
        <v>-5.7864379927578903E-2</v>
      </c>
      <c r="Q10">
        <v>5.82617616817626E-2</v>
      </c>
      <c r="R10">
        <v>7.3233895817437694E-2</v>
      </c>
      <c r="S10">
        <v>6.7536504671924499E-2</v>
      </c>
      <c r="T10">
        <v>-9.0219371369590198E-2</v>
      </c>
    </row>
    <row r="11" spans="1:20" x14ac:dyDescent="0.25">
      <c r="A11" t="s">
        <v>84</v>
      </c>
      <c r="B11">
        <v>0.108507251204672</v>
      </c>
      <c r="C11">
        <v>0.21042000181684001</v>
      </c>
      <c r="D11">
        <v>1.6853113482862399E-2</v>
      </c>
      <c r="E11">
        <v>0.35710792306667599</v>
      </c>
      <c r="F11">
        <v>1.5318051593022399E-2</v>
      </c>
      <c r="G11">
        <v>0.584109923310972</v>
      </c>
      <c r="H11">
        <v>0.58579329840073702</v>
      </c>
      <c r="I11">
        <v>0.73469879686269302</v>
      </c>
      <c r="J11">
        <v>0.66501892689687803</v>
      </c>
      <c r="K11">
        <v>0.63906687572577003</v>
      </c>
      <c r="L11">
        <v>0.69058510672858997</v>
      </c>
      <c r="M11">
        <v>0.760032901314596</v>
      </c>
      <c r="N11">
        <v>0.63025794262928003</v>
      </c>
      <c r="O11">
        <v>0.70401038386926595</v>
      </c>
      <c r="P11">
        <v>0.67406348876064703</v>
      </c>
      <c r="Q11">
        <v>0.70420681891572501</v>
      </c>
      <c r="R11">
        <v>0.69941111344743501</v>
      </c>
      <c r="S11">
        <v>0.76820426023341803</v>
      </c>
      <c r="T11">
        <v>0.62940497913367999</v>
      </c>
    </row>
    <row r="13" spans="1:20" x14ac:dyDescent="0.25">
      <c r="A13" t="s">
        <v>34</v>
      </c>
      <c r="B13">
        <v>-3.3305259105779998</v>
      </c>
      <c r="C13">
        <v>2.1070666933665101</v>
      </c>
      <c r="D13">
        <v>-0.125467691377247</v>
      </c>
      <c r="E13">
        <v>1.0101884863750299</v>
      </c>
      <c r="F13">
        <v>-1.03522852427875</v>
      </c>
      <c r="G13">
        <v>-1.5557865860803301E-2</v>
      </c>
      <c r="H13">
        <v>0.468247168507681</v>
      </c>
      <c r="I13">
        <v>0.65670331397149095</v>
      </c>
      <c r="J13">
        <v>1.177923528772</v>
      </c>
      <c r="K13">
        <v>-0.81554818123823503</v>
      </c>
      <c r="L13">
        <v>-0.99670562250390204</v>
      </c>
      <c r="M13">
        <v>-1.80470455339101</v>
      </c>
      <c r="N13">
        <v>-1.35148055733137</v>
      </c>
      <c r="O13">
        <v>-0.76044367904001697</v>
      </c>
      <c r="P13">
        <v>-0.127921592398899</v>
      </c>
      <c r="Q13">
        <v>0.48732063401282999</v>
      </c>
      <c r="R13">
        <v>0.10221370247235501</v>
      </c>
      <c r="S13">
        <v>0.560464657860551</v>
      </c>
      <c r="T13">
        <v>-0.36019551234533298</v>
      </c>
    </row>
    <row r="14" spans="1:20" x14ac:dyDescent="0.25">
      <c r="A14" t="s">
        <v>35</v>
      </c>
      <c r="B14">
        <v>-3.35425377937143</v>
      </c>
      <c r="C14">
        <v>1.9731812064877201</v>
      </c>
      <c r="D14">
        <v>-0.11670348721769799</v>
      </c>
      <c r="E14">
        <v>0.99675202306871602</v>
      </c>
      <c r="F14">
        <v>-1.0131897797795399</v>
      </c>
      <c r="G14">
        <v>0.91584033166380197</v>
      </c>
      <c r="H14">
        <v>0.55066944970804799</v>
      </c>
      <c r="I14">
        <v>-0.72861520359596399</v>
      </c>
      <c r="J14">
        <v>-0.70902443837734397</v>
      </c>
      <c r="K14">
        <v>-1.4951654771313101</v>
      </c>
      <c r="L14">
        <v>-0.43048496548037601</v>
      </c>
      <c r="M14">
        <v>-0.44117867940635203</v>
      </c>
      <c r="N14">
        <v>-0.236538979883788</v>
      </c>
      <c r="O14">
        <v>-0.78793780212985798</v>
      </c>
      <c r="P14">
        <v>-1.09103250071272</v>
      </c>
      <c r="Q14">
        <v>-0.10323177721634</v>
      </c>
      <c r="R14">
        <v>-0.27813833950072098</v>
      </c>
      <c r="S14">
        <v>0.78379651053606503</v>
      </c>
      <c r="T14">
        <v>0.252501259936663</v>
      </c>
    </row>
    <row r="15" spans="1:20" x14ac:dyDescent="0.25">
      <c r="A15" t="s">
        <v>36</v>
      </c>
      <c r="B15">
        <v>-3.2079320268398299</v>
      </c>
      <c r="C15">
        <v>2.5767944664711</v>
      </c>
      <c r="D15">
        <v>-7.4077323957637498E-2</v>
      </c>
      <c r="E15">
        <v>0.228173712599189</v>
      </c>
      <c r="F15">
        <v>-1.04733523693244</v>
      </c>
      <c r="G15">
        <v>-1.0258538631676E-4</v>
      </c>
      <c r="H15">
        <v>7.2383084789094304E-2</v>
      </c>
      <c r="I15">
        <v>0.80719556222155897</v>
      </c>
      <c r="J15">
        <v>0.891610548496793</v>
      </c>
      <c r="K15">
        <v>0.77179840943015598</v>
      </c>
      <c r="L15">
        <v>0.95640579482511701</v>
      </c>
      <c r="M15">
        <v>1.18581129650845</v>
      </c>
      <c r="N15">
        <v>1.33943848015314</v>
      </c>
      <c r="O15">
        <v>0.907968789428795</v>
      </c>
      <c r="P15">
        <v>0.74992266586492595</v>
      </c>
      <c r="Q15">
        <v>0.34927972979961602</v>
      </c>
      <c r="R15">
        <v>-0.10666794443965</v>
      </c>
      <c r="S15">
        <v>-0.22098001425091099</v>
      </c>
      <c r="T15">
        <v>-0.25164271621240197</v>
      </c>
    </row>
    <row r="16" spans="1:20" x14ac:dyDescent="0.25">
      <c r="A16" t="s">
        <v>37</v>
      </c>
      <c r="B16">
        <v>-3.34583332511931</v>
      </c>
      <c r="C16">
        <v>2.1413189063644902</v>
      </c>
      <c r="D16">
        <v>-0.11866883655134</v>
      </c>
      <c r="E16">
        <v>0.97452219850785105</v>
      </c>
      <c r="F16">
        <v>-1.0532246030316199</v>
      </c>
      <c r="G16">
        <v>0.19782645547031699</v>
      </c>
      <c r="H16">
        <v>0.75170179733026699</v>
      </c>
      <c r="I16">
        <v>-0.53811121037125098</v>
      </c>
      <c r="J16">
        <v>-0.62324789967897998</v>
      </c>
      <c r="K16">
        <v>-0.31849039084815201</v>
      </c>
      <c r="L16">
        <v>9.8864371526195996E-2</v>
      </c>
      <c r="M16">
        <v>1.0532589866195301</v>
      </c>
      <c r="N16">
        <v>-6.3861190170987195E-2</v>
      </c>
      <c r="O16">
        <v>1.10680224303852</v>
      </c>
      <c r="P16">
        <v>0.73923501417233395</v>
      </c>
      <c r="Q16">
        <v>1.6593161581491001</v>
      </c>
      <c r="R16">
        <v>1.32102120186453</v>
      </c>
      <c r="S16">
        <v>0.100897851205696</v>
      </c>
      <c r="T16">
        <v>-0.12893540482553001</v>
      </c>
    </row>
    <row r="17" spans="1:20" x14ac:dyDescent="0.25">
      <c r="A17" t="s">
        <v>38</v>
      </c>
      <c r="B17">
        <v>-3.04156787739185</v>
      </c>
      <c r="C17">
        <v>2.7211980693159799</v>
      </c>
      <c r="D17">
        <v>-7.01711624888567E-2</v>
      </c>
      <c r="E17">
        <v>2.3379778223439299E-2</v>
      </c>
      <c r="F17">
        <v>-1.0594119781671201</v>
      </c>
      <c r="G17">
        <v>0.93649407181717603</v>
      </c>
      <c r="H17">
        <v>1.1961426369820101</v>
      </c>
      <c r="I17">
        <v>0.884834362874096</v>
      </c>
      <c r="J17">
        <v>0.51518625224843995</v>
      </c>
      <c r="K17">
        <v>0.39247327290800899</v>
      </c>
      <c r="L17">
        <v>-0.52556501628608399</v>
      </c>
      <c r="M17">
        <v>3.8340726440268702E-2</v>
      </c>
      <c r="N17">
        <v>0.451692069149222</v>
      </c>
      <c r="O17">
        <v>0.47417804809838698</v>
      </c>
      <c r="P17">
        <v>0.37133293029228998</v>
      </c>
      <c r="Q17">
        <v>0.39736269699115401</v>
      </c>
      <c r="R17">
        <v>0.69843814537580096</v>
      </c>
      <c r="S17">
        <v>0.71933292064808996</v>
      </c>
      <c r="T17">
        <v>0.81353816173258497</v>
      </c>
    </row>
    <row r="18" spans="1:20" x14ac:dyDescent="0.25">
      <c r="A18" t="s">
        <v>39</v>
      </c>
      <c r="B18">
        <v>-3.35927380933393</v>
      </c>
      <c r="C18">
        <v>2.1242474157056801</v>
      </c>
      <c r="D18">
        <v>-0.118550606815899</v>
      </c>
      <c r="E18">
        <v>0.99194415572436501</v>
      </c>
      <c r="F18">
        <v>-1.02953598791232</v>
      </c>
      <c r="G18">
        <v>0.55640531382516101</v>
      </c>
      <c r="H18">
        <v>0.31823181892379898</v>
      </c>
      <c r="I18">
        <v>0.118611974270285</v>
      </c>
      <c r="J18">
        <v>-9.1099844987097195E-2</v>
      </c>
      <c r="K18">
        <v>0.124120961075013</v>
      </c>
      <c r="L18">
        <v>-0.20798401024841001</v>
      </c>
      <c r="M18">
        <v>-0.79335207991919099</v>
      </c>
      <c r="N18">
        <v>4.7322970633504102E-2</v>
      </c>
      <c r="O18">
        <v>0.65205436552079699</v>
      </c>
      <c r="P18">
        <v>-0.20877543768851001</v>
      </c>
      <c r="Q18">
        <v>0.110269952475511</v>
      </c>
      <c r="R18">
        <v>4.9332946276780896E-3</v>
      </c>
      <c r="S18">
        <v>0.29197151753793699</v>
      </c>
      <c r="T18">
        <v>-0.255392079499771</v>
      </c>
    </row>
    <row r="19" spans="1:20" x14ac:dyDescent="0.25">
      <c r="A19" t="s">
        <v>40</v>
      </c>
      <c r="B19">
        <v>-3.3650161789831099</v>
      </c>
      <c r="C19">
        <v>2.0877870971382699</v>
      </c>
      <c r="D19">
        <v>-0.1372783530193</v>
      </c>
      <c r="E19">
        <v>1.05320405724681</v>
      </c>
      <c r="F19">
        <v>-1.0443643916927601</v>
      </c>
      <c r="G19">
        <v>-0.75207965371249397</v>
      </c>
      <c r="H19">
        <v>0.202487061810738</v>
      </c>
      <c r="I19">
        <v>-0.247655828470946</v>
      </c>
      <c r="J19">
        <v>-2.9982186142339998E-2</v>
      </c>
      <c r="K19">
        <v>0.61503183025083596</v>
      </c>
      <c r="L19">
        <v>-0.15500418492335</v>
      </c>
      <c r="M19">
        <v>-0.30612492993333701</v>
      </c>
      <c r="N19">
        <v>-0.59672796587672094</v>
      </c>
      <c r="O19">
        <v>-1.1419052215249701</v>
      </c>
      <c r="P19">
        <v>-0.81670842894380202</v>
      </c>
      <c r="Q19">
        <v>-0.63056809429103899</v>
      </c>
      <c r="R19">
        <v>1.08462148009447</v>
      </c>
      <c r="S19">
        <v>1.4046022134188401</v>
      </c>
      <c r="T19">
        <v>1.3066934567056101</v>
      </c>
    </row>
    <row r="20" spans="1:20" x14ac:dyDescent="0.25">
      <c r="A20" t="s">
        <v>41</v>
      </c>
      <c r="B20">
        <v>-3.34138538461489</v>
      </c>
      <c r="C20">
        <v>2.0857274685251102</v>
      </c>
      <c r="D20">
        <v>-0.12554194282560299</v>
      </c>
      <c r="E20">
        <v>0.98159895847717704</v>
      </c>
      <c r="F20">
        <v>-1.04258463331553</v>
      </c>
      <c r="G20">
        <v>0.114770231198688</v>
      </c>
      <c r="H20">
        <v>0.19911809249825699</v>
      </c>
      <c r="I20">
        <v>0.31635090511487701</v>
      </c>
      <c r="J20">
        <v>-0.131739638120146</v>
      </c>
      <c r="K20">
        <v>-0.57591759642641704</v>
      </c>
      <c r="L20">
        <v>-0.46890329465056801</v>
      </c>
      <c r="M20">
        <v>-0.16717553693829501</v>
      </c>
      <c r="N20">
        <v>0.13386988171687</v>
      </c>
      <c r="O20">
        <v>0.88443392902022899</v>
      </c>
      <c r="P20">
        <v>0.74016780484032896</v>
      </c>
      <c r="Q20">
        <v>0.664991976906396</v>
      </c>
      <c r="R20">
        <v>1.1023135860183599</v>
      </c>
      <c r="S20">
        <v>0.99024151118116399</v>
      </c>
      <c r="T20">
        <v>0.87602683894257904</v>
      </c>
    </row>
    <row r="21" spans="1:20" x14ac:dyDescent="0.25">
      <c r="A21" t="s">
        <v>42</v>
      </c>
      <c r="B21">
        <v>-3.3328972504975698</v>
      </c>
      <c r="C21">
        <v>2.0888367905476599</v>
      </c>
      <c r="D21">
        <v>-0.13179307136044899</v>
      </c>
      <c r="E21">
        <v>1.0560145100001499</v>
      </c>
      <c r="F21">
        <v>-1.03913714978937</v>
      </c>
      <c r="G21">
        <v>-0.109664652338701</v>
      </c>
      <c r="H21">
        <v>0.137903506583922</v>
      </c>
      <c r="I21">
        <v>0.62003800149745503</v>
      </c>
      <c r="J21">
        <v>-0.75886198556483797</v>
      </c>
      <c r="K21">
        <v>-0.33173197201149301</v>
      </c>
      <c r="L21">
        <v>-0.671154976871978</v>
      </c>
      <c r="M21">
        <v>-0.104292536299825</v>
      </c>
      <c r="N21">
        <v>0.27702638126759399</v>
      </c>
      <c r="O21">
        <v>0.43691094996625301</v>
      </c>
      <c r="P21">
        <v>0.84910511005497002</v>
      </c>
      <c r="Q21">
        <v>0.611088979169081</v>
      </c>
      <c r="R21">
        <v>-0.54682364828083296</v>
      </c>
      <c r="S21">
        <v>-0.86659323137173205</v>
      </c>
      <c r="T21">
        <v>-1.04468740209149</v>
      </c>
    </row>
    <row r="22" spans="1:20" x14ac:dyDescent="0.25">
      <c r="A22" t="s">
        <v>43</v>
      </c>
      <c r="B22">
        <v>-3.3437986106696802</v>
      </c>
      <c r="C22">
        <v>2.0942013756368301</v>
      </c>
      <c r="D22">
        <v>-0.113982315102233</v>
      </c>
      <c r="E22">
        <v>1.0280603179452901</v>
      </c>
      <c r="F22">
        <v>-1.04831012243612</v>
      </c>
      <c r="G22">
        <v>-0.35893720835495702</v>
      </c>
      <c r="H22">
        <v>-0.58164401382978304</v>
      </c>
      <c r="I22">
        <v>0.28349511564209701</v>
      </c>
      <c r="J22">
        <v>-2.1429762008181301E-2</v>
      </c>
      <c r="K22">
        <v>0.15988792987775599</v>
      </c>
      <c r="L22">
        <v>-0.397724262654577</v>
      </c>
      <c r="M22">
        <v>-0.51942828948500097</v>
      </c>
      <c r="N22">
        <v>-0.115776460821264</v>
      </c>
      <c r="O22">
        <v>-0.87070062368814005</v>
      </c>
      <c r="P22">
        <v>-0.98156088557794796</v>
      </c>
      <c r="Q22">
        <v>-0.98602439582537504</v>
      </c>
      <c r="R22">
        <v>0.31328577748379799</v>
      </c>
      <c r="S22">
        <v>-0.62176082683376899</v>
      </c>
      <c r="T22">
        <v>-0.47268124226783798</v>
      </c>
    </row>
    <row r="23" spans="1:20" x14ac:dyDescent="0.25">
      <c r="A23" t="s">
        <v>44</v>
      </c>
      <c r="B23">
        <v>-3.3442484775867598</v>
      </c>
      <c r="C23">
        <v>2.1350166546926701</v>
      </c>
      <c r="D23">
        <v>-0.131656223733843</v>
      </c>
      <c r="E23">
        <v>1.0283608879205901</v>
      </c>
      <c r="F23">
        <v>-1.04425366309298</v>
      </c>
      <c r="G23">
        <v>0.48393793542487901</v>
      </c>
      <c r="H23">
        <v>-4.3458209432431998E-2</v>
      </c>
      <c r="I23">
        <v>-0.72927666039580497</v>
      </c>
      <c r="J23">
        <v>-0.66370656498710201</v>
      </c>
      <c r="K23">
        <v>-0.25498566849823701</v>
      </c>
      <c r="L23">
        <v>-0.24045912086926099</v>
      </c>
      <c r="M23">
        <v>0.13235520753157201</v>
      </c>
      <c r="N23">
        <v>0.372139491990715</v>
      </c>
      <c r="O23">
        <v>0.37368401082670499</v>
      </c>
      <c r="P23">
        <v>0.62005642464503496</v>
      </c>
      <c r="Q23">
        <v>-0.79023416619406595</v>
      </c>
      <c r="R23">
        <v>-1.3259275773414001</v>
      </c>
      <c r="S23">
        <v>-1.1465352051441799</v>
      </c>
      <c r="T23">
        <v>-1.47448677088197</v>
      </c>
    </row>
    <row r="24" spans="1:20" x14ac:dyDescent="0.25">
      <c r="A24" t="s">
        <v>45</v>
      </c>
      <c r="B24">
        <v>-3.3480890749638599</v>
      </c>
      <c r="C24">
        <v>2.1223093170727001</v>
      </c>
      <c r="D24">
        <v>-0.12793691778754501</v>
      </c>
      <c r="E24">
        <v>0.97444946772029795</v>
      </c>
      <c r="F24">
        <v>-1.04648766244994</v>
      </c>
      <c r="G24">
        <v>-0.19075171939690699</v>
      </c>
      <c r="H24">
        <v>-0.42539085197343401</v>
      </c>
      <c r="I24">
        <v>-0.58860655600938205</v>
      </c>
      <c r="J24">
        <v>-0.62764034200297203</v>
      </c>
      <c r="K24">
        <v>-0.39201805415263702</v>
      </c>
      <c r="L24">
        <v>0.61057103460623496</v>
      </c>
      <c r="M24">
        <v>0.92523395504903005</v>
      </c>
      <c r="N24">
        <v>0.76236452874775695</v>
      </c>
      <c r="O24">
        <v>0.24276923398092001</v>
      </c>
      <c r="P24">
        <v>6.16429531626808E-2</v>
      </c>
      <c r="Q24">
        <v>1.10029354514638</v>
      </c>
      <c r="R24">
        <v>0.77289919889082104</v>
      </c>
      <c r="S24">
        <v>-0.23667708239895099</v>
      </c>
      <c r="T24">
        <v>-8.7133114135082998E-2</v>
      </c>
    </row>
    <row r="25" spans="1:20" x14ac:dyDescent="0.25">
      <c r="A25" t="s">
        <v>46</v>
      </c>
      <c r="B25">
        <v>-3.3448820026812598</v>
      </c>
      <c r="C25">
        <v>2.0849286723391902</v>
      </c>
      <c r="D25">
        <v>-0.124461259292502</v>
      </c>
      <c r="E25">
        <v>1.04312425094862</v>
      </c>
      <c r="F25">
        <v>-1.05099414483798</v>
      </c>
      <c r="G25">
        <v>0.79190072068206696</v>
      </c>
      <c r="H25">
        <v>0.35600599930337801</v>
      </c>
      <c r="I25">
        <v>7.3263548533558001E-2</v>
      </c>
      <c r="J25">
        <v>-0.35773164018849801</v>
      </c>
      <c r="K25">
        <v>-0.42192483284746002</v>
      </c>
      <c r="L25">
        <v>-0.49805643254458298</v>
      </c>
      <c r="M25">
        <v>0.28919533187060298</v>
      </c>
      <c r="N25">
        <v>-0.40030732668945801</v>
      </c>
      <c r="O25">
        <v>-8.7063970407266003E-2</v>
      </c>
      <c r="P25">
        <v>0.46156052605535802</v>
      </c>
      <c r="Q25">
        <v>0.70635941270479197</v>
      </c>
      <c r="R25">
        <v>0.62181524519488796</v>
      </c>
      <c r="S25">
        <v>-4.5055089115056998E-2</v>
      </c>
      <c r="T25">
        <v>-0.67595392878500304</v>
      </c>
    </row>
    <row r="26" spans="1:20" x14ac:dyDescent="0.25">
      <c r="A26" t="s">
        <v>47</v>
      </c>
      <c r="B26">
        <v>-3.0257146259696399</v>
      </c>
      <c r="C26">
        <v>2.6514035536769298</v>
      </c>
      <c r="D26">
        <v>-8.2844509816052805E-2</v>
      </c>
      <c r="E26">
        <v>-1.7977491237483802E-2</v>
      </c>
      <c r="F26">
        <v>-1.0593296737267699</v>
      </c>
      <c r="G26">
        <v>0.36058477974555098</v>
      </c>
      <c r="H26">
        <v>0.37577375111496097</v>
      </c>
      <c r="I26">
        <v>0.89038236605887799</v>
      </c>
      <c r="J26">
        <v>1.1174390680579001</v>
      </c>
      <c r="K26">
        <v>1.07201028216488</v>
      </c>
      <c r="L26">
        <v>9.3704248233219795E-2</v>
      </c>
      <c r="M26">
        <v>0.401916259007634</v>
      </c>
      <c r="N26">
        <v>0.93208675593613</v>
      </c>
      <c r="O26">
        <v>-0.20533590645208699</v>
      </c>
      <c r="P26">
        <v>-2.1672787595792602E-2</v>
      </c>
      <c r="Q26">
        <v>0.32950080083262401</v>
      </c>
      <c r="R26">
        <v>0.33446465688736998</v>
      </c>
      <c r="S26">
        <v>-8.7467545744928696E-2</v>
      </c>
      <c r="T26">
        <v>0.14828386330266</v>
      </c>
    </row>
    <row r="27" spans="1:20" x14ac:dyDescent="0.25">
      <c r="A27" t="s">
        <v>48</v>
      </c>
      <c r="B27">
        <v>-3.0344881002324402</v>
      </c>
      <c r="C27">
        <v>2.5914206859908702</v>
      </c>
      <c r="D27">
        <v>-8.1449773686299604E-2</v>
      </c>
      <c r="E27">
        <v>0.14635564962747799</v>
      </c>
      <c r="F27">
        <v>-1.05735914048312</v>
      </c>
      <c r="G27">
        <v>0.51908300920445505</v>
      </c>
      <c r="H27">
        <v>0.42230011547318103</v>
      </c>
      <c r="I27">
        <v>4.5604120560162997E-2</v>
      </c>
      <c r="J27">
        <v>7.0943458957576894E-2</v>
      </c>
      <c r="K27">
        <v>0.12308652227523301</v>
      </c>
      <c r="L27">
        <v>0.43181590902712702</v>
      </c>
      <c r="M27">
        <v>0.35772630060156402</v>
      </c>
      <c r="N27">
        <v>1.0952761590400399</v>
      </c>
      <c r="O27">
        <v>2.3956903005246599</v>
      </c>
      <c r="P27">
        <v>0.96094471691003402</v>
      </c>
      <c r="Q27">
        <v>0.95341044919122597</v>
      </c>
      <c r="R27">
        <v>1.2386863027688499</v>
      </c>
      <c r="S27">
        <v>1.54573244092214</v>
      </c>
      <c r="T27">
        <v>0.71860611532265095</v>
      </c>
    </row>
    <row r="28" spans="1:20" x14ac:dyDescent="0.25">
      <c r="A28" t="s">
        <v>49</v>
      </c>
      <c r="B28">
        <v>-3.3674592926071099</v>
      </c>
      <c r="C28">
        <v>2.2008093329323302</v>
      </c>
      <c r="D28">
        <v>-0.12255509699835</v>
      </c>
      <c r="E28">
        <v>0.99838022167766505</v>
      </c>
      <c r="F28">
        <v>-1.0630101435369901</v>
      </c>
      <c r="G28">
        <v>0.64625488173315804</v>
      </c>
      <c r="H28">
        <v>0.81084568047088101</v>
      </c>
      <c r="I28">
        <v>1.05383148869131</v>
      </c>
      <c r="J28">
        <v>5.9212433145611101E-2</v>
      </c>
      <c r="K28">
        <v>0.490071714231128</v>
      </c>
      <c r="L28">
        <v>0.92897190661880702</v>
      </c>
      <c r="M28">
        <v>-0.791371772892137</v>
      </c>
      <c r="N28">
        <v>-0.203390725477363</v>
      </c>
      <c r="O28">
        <v>-0.33759662029663401</v>
      </c>
      <c r="P28">
        <v>-7.5448883247516293E-2</v>
      </c>
      <c r="Q28">
        <v>-0.50670524049499099</v>
      </c>
      <c r="R28">
        <v>-4.80923531283571E-2</v>
      </c>
      <c r="S28">
        <v>0.192667452401487</v>
      </c>
      <c r="T28">
        <v>-0.107919315964914</v>
      </c>
    </row>
    <row r="29" spans="1:20" x14ac:dyDescent="0.25">
      <c r="A29" t="s">
        <v>50</v>
      </c>
      <c r="B29">
        <v>-3.3774028201133701</v>
      </c>
      <c r="C29">
        <v>2.0596621438360798</v>
      </c>
      <c r="D29">
        <v>-0.121958547070892</v>
      </c>
      <c r="E29">
        <v>1.01534202661988</v>
      </c>
      <c r="F29">
        <v>-1.0260928210697</v>
      </c>
      <c r="G29">
        <v>-0.76001193490437402</v>
      </c>
      <c r="H29">
        <v>-0.27532339269994999</v>
      </c>
      <c r="I29">
        <v>2.6978468439337398E-2</v>
      </c>
      <c r="J29">
        <v>0.20180846614938699</v>
      </c>
      <c r="K29">
        <v>0.323955975808909</v>
      </c>
      <c r="L29">
        <v>0.38199283466480499</v>
      </c>
      <c r="M29">
        <v>0.582095766834693</v>
      </c>
      <c r="N29">
        <v>5.3110007557037502E-3</v>
      </c>
      <c r="O29">
        <v>-0.81215806546200298</v>
      </c>
      <c r="P29">
        <v>-0.92215897440764805</v>
      </c>
      <c r="Q29">
        <v>0.33326698902859703</v>
      </c>
      <c r="R29">
        <v>0.71211799814959498</v>
      </c>
      <c r="S29">
        <v>0.397818376416258</v>
      </c>
      <c r="T29">
        <v>-0.82508075379776502</v>
      </c>
    </row>
    <row r="30" spans="1:20" x14ac:dyDescent="0.25">
      <c r="A30" t="s">
        <v>51</v>
      </c>
      <c r="B30">
        <v>-3.36448009835757</v>
      </c>
      <c r="C30">
        <v>2.1238574821526699</v>
      </c>
      <c r="D30">
        <v>-0.13513245583717401</v>
      </c>
      <c r="E30">
        <v>1.0174376394903499</v>
      </c>
      <c r="F30">
        <v>-1.0591882539105999</v>
      </c>
      <c r="G30">
        <v>0.94552546893161404</v>
      </c>
      <c r="H30">
        <v>-0.60412891942170699</v>
      </c>
      <c r="I30">
        <v>-0.53161576590514203</v>
      </c>
      <c r="J30">
        <v>-0.95285871617392903</v>
      </c>
      <c r="K30">
        <v>-0.12709043468803799</v>
      </c>
      <c r="L30">
        <v>0.55981129802987994</v>
      </c>
      <c r="M30">
        <v>1.7123000103613599</v>
      </c>
      <c r="N30">
        <v>0.58158014624544296</v>
      </c>
      <c r="O30">
        <v>-0.33381482242843602</v>
      </c>
      <c r="P30">
        <v>-0.64528528288293496</v>
      </c>
      <c r="Q30">
        <v>-0.75281919423072496</v>
      </c>
      <c r="R30">
        <v>0.14556872347114999</v>
      </c>
      <c r="S30">
        <v>0.26778291848321101</v>
      </c>
      <c r="T30">
        <v>-3.5163687608916097E-2</v>
      </c>
    </row>
    <row r="31" spans="1:20" x14ac:dyDescent="0.25">
      <c r="A31" t="s">
        <v>52</v>
      </c>
      <c r="B31">
        <v>-3.06257867654694</v>
      </c>
      <c r="C31">
        <v>2.62421812150391</v>
      </c>
      <c r="D31">
        <v>-9.3487650091952396E-2</v>
      </c>
      <c r="E31">
        <v>-0.121632386137435</v>
      </c>
      <c r="F31">
        <v>-1.0364876912157499</v>
      </c>
      <c r="G31">
        <v>0.94537282587895899</v>
      </c>
      <c r="H31">
        <v>1.30440111391423</v>
      </c>
      <c r="I31">
        <v>1.1879672634704399</v>
      </c>
      <c r="J31">
        <v>0.46090171856284901</v>
      </c>
      <c r="K31">
        <v>0.96301938355234995</v>
      </c>
      <c r="L31">
        <v>0.285030240649637</v>
      </c>
      <c r="M31">
        <v>1.16292814997182</v>
      </c>
      <c r="N31">
        <v>0.43450411856743898</v>
      </c>
      <c r="O31">
        <v>0.73423873985380606</v>
      </c>
      <c r="P31">
        <v>0.16068801983137301</v>
      </c>
      <c r="Q31">
        <v>0.127268949697115</v>
      </c>
      <c r="R31">
        <v>0.72381574533516502</v>
      </c>
      <c r="S31">
        <v>1.09827218303389</v>
      </c>
      <c r="T31">
        <v>7.7061684144506398E-2</v>
      </c>
    </row>
    <row r="32" spans="1:20" x14ac:dyDescent="0.25">
      <c r="A32" t="s">
        <v>53</v>
      </c>
      <c r="B32">
        <v>-3.2636727811111901</v>
      </c>
      <c r="C32">
        <v>2.34916657414569</v>
      </c>
      <c r="D32">
        <v>-9.33437163301266E-2</v>
      </c>
      <c r="E32">
        <v>0.81926216782264005</v>
      </c>
      <c r="F32">
        <v>-1.05232672920812</v>
      </c>
      <c r="G32">
        <v>1.0884922728145401</v>
      </c>
      <c r="H32">
        <v>0.23665064171831099</v>
      </c>
      <c r="I32">
        <v>0.50359490804923301</v>
      </c>
      <c r="J32">
        <v>0.12810942839595199</v>
      </c>
      <c r="K32">
        <v>0.15239374568505701</v>
      </c>
      <c r="L32">
        <v>4.0393105920006403E-2</v>
      </c>
      <c r="M32">
        <v>-0.28364907336888701</v>
      </c>
      <c r="N32">
        <v>0.55423634389713605</v>
      </c>
      <c r="O32">
        <v>0.42200915023772201</v>
      </c>
      <c r="P32">
        <v>0.44275514298611302</v>
      </c>
      <c r="Q32">
        <v>1.0365520976627101</v>
      </c>
      <c r="R32">
        <v>0.230408422012678</v>
      </c>
      <c r="S32">
        <v>0.38850418897131</v>
      </c>
      <c r="T32">
        <v>1.0872087422353001</v>
      </c>
    </row>
    <row r="33" spans="1:20" x14ac:dyDescent="0.25">
      <c r="A33" t="s">
        <v>54</v>
      </c>
      <c r="B33">
        <v>-3.3312337345399001</v>
      </c>
      <c r="C33">
        <v>2.0751654726951898</v>
      </c>
      <c r="D33">
        <v>-0.13346615737457901</v>
      </c>
      <c r="E33">
        <v>1.0413079457026899</v>
      </c>
      <c r="F33">
        <v>-1.0193386541957501</v>
      </c>
      <c r="G33">
        <v>-0.46469419233249099</v>
      </c>
      <c r="H33">
        <v>-0.95993664949833601</v>
      </c>
      <c r="I33">
        <v>-0.99146568880055397</v>
      </c>
      <c r="J33">
        <v>-1.91465931372648</v>
      </c>
      <c r="K33">
        <v>-0.86878045643602397</v>
      </c>
      <c r="L33">
        <v>-1.4403960510048699</v>
      </c>
      <c r="M33">
        <v>7.9403752597289698E-2</v>
      </c>
      <c r="N33">
        <v>-0.41082270857720798</v>
      </c>
      <c r="O33">
        <v>-0.968362954310656</v>
      </c>
      <c r="P33">
        <v>-1.2456852491691901</v>
      </c>
      <c r="Q33">
        <v>-0.81312084219468495</v>
      </c>
      <c r="R33">
        <v>0.43674022744381802</v>
      </c>
      <c r="S33">
        <v>-5.2330790220173798E-2</v>
      </c>
      <c r="T33">
        <v>8.0429918488681806E-2</v>
      </c>
    </row>
    <row r="34" spans="1:20" x14ac:dyDescent="0.25">
      <c r="A34" t="s">
        <v>55</v>
      </c>
      <c r="B34">
        <v>-3.3414883884137998</v>
      </c>
      <c r="C34">
        <v>2.05206585711462</v>
      </c>
      <c r="D34">
        <v>-0.122316965264406</v>
      </c>
      <c r="E34">
        <v>1.0069653215538099</v>
      </c>
      <c r="F34">
        <v>-1.0292160084084501</v>
      </c>
      <c r="G34">
        <v>-0.26020045282647702</v>
      </c>
      <c r="H34">
        <v>-0.82987194445832302</v>
      </c>
      <c r="I34">
        <v>-1.0114302337824701</v>
      </c>
      <c r="J34">
        <v>-0.34045253520543201</v>
      </c>
      <c r="K34">
        <v>-0.34819961791344101</v>
      </c>
      <c r="L34">
        <v>-0.309430086164525</v>
      </c>
      <c r="M34">
        <v>-0.20619095572732701</v>
      </c>
      <c r="N34">
        <v>-0.41943786314354498</v>
      </c>
      <c r="O34">
        <v>-0.90894257861361505</v>
      </c>
      <c r="P34">
        <v>-0.94982269275203501</v>
      </c>
      <c r="Q34">
        <v>0.22825007136730299</v>
      </c>
      <c r="R34">
        <v>-0.27816903307727697</v>
      </c>
      <c r="S34">
        <v>0.36511335312443199</v>
      </c>
      <c r="T34">
        <v>0.83316070657538599</v>
      </c>
    </row>
    <row r="35" spans="1:20" x14ac:dyDescent="0.25">
      <c r="A35" t="s">
        <v>56</v>
      </c>
      <c r="B35">
        <v>-3.3303469072615499</v>
      </c>
      <c r="C35">
        <v>2.1442656610606501</v>
      </c>
      <c r="D35">
        <v>-0.122673148440334</v>
      </c>
      <c r="E35">
        <v>0.98665250461986398</v>
      </c>
      <c r="F35">
        <v>-1.03724418285709</v>
      </c>
      <c r="G35">
        <v>0.25216982285814599</v>
      </c>
      <c r="H35">
        <v>-0.239500754447384</v>
      </c>
      <c r="I35">
        <v>-0.87546627405535304</v>
      </c>
      <c r="J35">
        <v>-0.187863170801742</v>
      </c>
      <c r="K35">
        <v>-6.2820411283366406E-2</v>
      </c>
      <c r="L35">
        <v>0.74329397451787305</v>
      </c>
      <c r="M35">
        <v>5.1124549010858701E-2</v>
      </c>
      <c r="N35">
        <v>0.497313940333729</v>
      </c>
      <c r="O35">
        <v>2.88072086425731E-2</v>
      </c>
      <c r="P35">
        <v>-0.324485652120382</v>
      </c>
      <c r="Q35">
        <v>-1.8165370574611699</v>
      </c>
      <c r="R35">
        <v>-1.86234146578517</v>
      </c>
      <c r="S35">
        <v>-2.3621980395331899</v>
      </c>
      <c r="T35">
        <v>-0.99500248796915103</v>
      </c>
    </row>
    <row r="36" spans="1:20" x14ac:dyDescent="0.25">
      <c r="A36" t="s">
        <v>57</v>
      </c>
      <c r="B36">
        <v>-3.3606173921282299</v>
      </c>
      <c r="C36">
        <v>2.14916295925148</v>
      </c>
      <c r="D36">
        <v>-0.119047059730455</v>
      </c>
      <c r="E36">
        <v>1.00927647286768</v>
      </c>
      <c r="F36">
        <v>-1.0386369320720299</v>
      </c>
      <c r="G36">
        <v>0.69083748431140901</v>
      </c>
      <c r="H36">
        <v>0.41590184031945598</v>
      </c>
      <c r="I36">
        <v>-0.33656206547825501</v>
      </c>
      <c r="J36">
        <v>-0.32631412772253698</v>
      </c>
      <c r="K36">
        <v>-0.33402918479723798</v>
      </c>
      <c r="L36">
        <v>0.123749141136583</v>
      </c>
      <c r="M36">
        <v>-3.2591513205686699E-2</v>
      </c>
      <c r="N36">
        <v>-0.51869189022361395</v>
      </c>
      <c r="O36">
        <v>-0.96442330376000995</v>
      </c>
      <c r="P36">
        <v>-1.1709528137429499</v>
      </c>
      <c r="Q36">
        <v>-0.92118389761875397</v>
      </c>
      <c r="R36">
        <v>-1.1433916806331299</v>
      </c>
      <c r="S36">
        <v>-1.1490910657412701</v>
      </c>
      <c r="T36">
        <v>-0.10533588313313499</v>
      </c>
    </row>
    <row r="37" spans="1:20" x14ac:dyDescent="0.25">
      <c r="A37" t="s">
        <v>58</v>
      </c>
      <c r="B37">
        <v>-3.34197457765013</v>
      </c>
      <c r="C37">
        <v>2.10692371351506</v>
      </c>
      <c r="D37">
        <v>-0.11108561270549699</v>
      </c>
      <c r="E37">
        <v>1.0036711738607</v>
      </c>
      <c r="F37">
        <v>-1.03626038447562</v>
      </c>
      <c r="G37">
        <v>-0.12636286464810101</v>
      </c>
      <c r="H37">
        <v>-0.590900461886669</v>
      </c>
      <c r="I37">
        <v>-1.08129516937075</v>
      </c>
      <c r="J37">
        <v>-0.110866187400242</v>
      </c>
      <c r="K37">
        <v>-1.1136932785078999</v>
      </c>
      <c r="L37">
        <v>-1.00632425160303</v>
      </c>
      <c r="M37">
        <v>-0.49262113942872598</v>
      </c>
      <c r="N37">
        <v>-0.22738039278354999</v>
      </c>
      <c r="O37">
        <v>-0.23683069467803999</v>
      </c>
      <c r="P37">
        <v>0.69727207829506899</v>
      </c>
      <c r="Q37">
        <v>1.36401617197022</v>
      </c>
      <c r="R37">
        <v>0.77452827203908703</v>
      </c>
      <c r="S37">
        <v>0.10708088911328099</v>
      </c>
      <c r="T37">
        <v>-0.62800591323732502</v>
      </c>
    </row>
    <row r="38" spans="1:20" x14ac:dyDescent="0.25">
      <c r="A38" t="s">
        <v>59</v>
      </c>
      <c r="B38">
        <v>-3.3367994801651899</v>
      </c>
      <c r="C38">
        <v>2.0769557080069898</v>
      </c>
      <c r="D38">
        <v>-0.126378236294589</v>
      </c>
      <c r="E38">
        <v>1.01990443274246</v>
      </c>
      <c r="F38">
        <v>-1.0397742782666799</v>
      </c>
      <c r="G38">
        <v>-4.8595019134275901E-3</v>
      </c>
      <c r="H38">
        <v>-0.82679322669752098</v>
      </c>
      <c r="I38">
        <v>-0.465958436083034</v>
      </c>
      <c r="J38">
        <v>-0.16508016295466399</v>
      </c>
      <c r="K38">
        <v>0.968169746161475</v>
      </c>
      <c r="L38">
        <v>1.4413960068290901</v>
      </c>
      <c r="M38">
        <v>0.60537751665473205</v>
      </c>
      <c r="N38">
        <v>0.32079760712605698</v>
      </c>
      <c r="O38">
        <v>-0.33092809467159101</v>
      </c>
      <c r="P38">
        <v>-0.31961866159088698</v>
      </c>
      <c r="Q38">
        <v>1.34538853357609E-2</v>
      </c>
      <c r="R38">
        <v>-0.254857960688533</v>
      </c>
      <c r="S38">
        <v>0.207795088144586</v>
      </c>
      <c r="T38">
        <v>-1.38127385819126</v>
      </c>
    </row>
    <row r="39" spans="1:20" x14ac:dyDescent="0.25">
      <c r="A39" t="s">
        <v>60</v>
      </c>
      <c r="B39">
        <v>-3.3516172550464201</v>
      </c>
      <c r="C39">
        <v>2.1500417953166702</v>
      </c>
      <c r="D39">
        <v>-0.118106210749705</v>
      </c>
      <c r="E39">
        <v>1.0027756121703699</v>
      </c>
      <c r="F39">
        <v>-1.05903445660643</v>
      </c>
      <c r="G39">
        <v>0.12953575731539499</v>
      </c>
      <c r="H39">
        <v>6.6213620627630601E-2</v>
      </c>
      <c r="I39">
        <v>-8.9581343229296603E-2</v>
      </c>
      <c r="J39">
        <v>-0.28029965146498598</v>
      </c>
      <c r="K39">
        <v>0.16372591967470199</v>
      </c>
      <c r="L39">
        <v>0.73032530906206705</v>
      </c>
      <c r="M39">
        <v>0.34592506828248298</v>
      </c>
      <c r="N39">
        <v>-0.18576343929001601</v>
      </c>
      <c r="O39">
        <v>0.42860604980646499</v>
      </c>
      <c r="P39">
        <v>0.94634548164146104</v>
      </c>
      <c r="Q39">
        <v>1.07932266198784</v>
      </c>
      <c r="R39">
        <v>0.297356921511363</v>
      </c>
      <c r="S39">
        <v>0.91279487176465102</v>
      </c>
      <c r="T39">
        <v>0.47260486952301201</v>
      </c>
    </row>
    <row r="40" spans="1:20" x14ac:dyDescent="0.25">
      <c r="A40" t="s">
        <v>61</v>
      </c>
      <c r="B40">
        <v>-3.04719199033826</v>
      </c>
      <c r="C40">
        <v>2.7687638733566602</v>
      </c>
      <c r="D40">
        <v>-9.6519931341871396E-2</v>
      </c>
      <c r="E40">
        <v>-3.0825838911943699E-2</v>
      </c>
      <c r="F40">
        <v>-1.0799083658630699</v>
      </c>
      <c r="G40">
        <v>-1.54958711572648</v>
      </c>
      <c r="H40">
        <v>-0.28669232771965197</v>
      </c>
      <c r="I40">
        <v>-0.123228876980064</v>
      </c>
      <c r="J40">
        <v>-1.8834928589105099E-2</v>
      </c>
      <c r="K40">
        <v>0.64698553154285598</v>
      </c>
      <c r="L40">
        <v>0.84276354298814604</v>
      </c>
      <c r="M40">
        <v>0.79197388009701697</v>
      </c>
      <c r="N40">
        <v>0.74092794341923596</v>
      </c>
      <c r="O40">
        <v>0.60275484152044001</v>
      </c>
      <c r="P40">
        <v>0.92079547819195595</v>
      </c>
      <c r="Q40">
        <v>0.61771960499030099</v>
      </c>
      <c r="R40">
        <v>0.76691032416268401</v>
      </c>
      <c r="S40">
        <v>4.1361250709254699E-2</v>
      </c>
      <c r="T40">
        <v>0.50846378167504303</v>
      </c>
    </row>
    <row r="41" spans="1:20" x14ac:dyDescent="0.25">
      <c r="A41" t="s">
        <v>62</v>
      </c>
      <c r="B41">
        <v>-3.34473371885489</v>
      </c>
      <c r="C41">
        <v>2.1349832178881099</v>
      </c>
      <c r="D41">
        <v>-0.118977893814011</v>
      </c>
      <c r="E41">
        <v>1.06107130954822</v>
      </c>
      <c r="F41">
        <v>-1.0717626047254001</v>
      </c>
      <c r="G41">
        <v>0.14233456563177799</v>
      </c>
      <c r="H41">
        <v>-0.41826264654884598</v>
      </c>
      <c r="I41">
        <v>0.77279212038155898</v>
      </c>
      <c r="J41">
        <v>0.89645471533082899</v>
      </c>
      <c r="K41">
        <v>0.45628763371762998</v>
      </c>
      <c r="L41">
        <v>-0.26130060874273697</v>
      </c>
      <c r="M41">
        <v>-0.681532292806171</v>
      </c>
      <c r="N41">
        <v>-0.57484699864650701</v>
      </c>
      <c r="O41">
        <v>-0.493187210419614</v>
      </c>
      <c r="P41">
        <v>2.2884027261280901E-2</v>
      </c>
      <c r="Q41">
        <v>0.39432918871230799</v>
      </c>
      <c r="R41">
        <v>0.20584008651639599</v>
      </c>
      <c r="S41">
        <v>-6.1646606952315199E-2</v>
      </c>
      <c r="T41">
        <v>-5.8306524828660597E-2</v>
      </c>
    </row>
    <row r="42" spans="1:20" x14ac:dyDescent="0.25">
      <c r="A42" t="s">
        <v>63</v>
      </c>
      <c r="B42">
        <v>-3.2807676424274099</v>
      </c>
      <c r="C42">
        <v>2.2962374234846199</v>
      </c>
      <c r="D42">
        <v>-0.111066252272254</v>
      </c>
      <c r="E42">
        <v>0.923725350861479</v>
      </c>
      <c r="F42">
        <v>-1.05521916001592</v>
      </c>
      <c r="G42">
        <v>0.23112836114739699</v>
      </c>
      <c r="H42">
        <v>-3.3920560464723699E-2</v>
      </c>
      <c r="I42">
        <v>-0.41679342316248302</v>
      </c>
      <c r="J42">
        <v>-0.85369259681446497</v>
      </c>
      <c r="K42">
        <v>-0.20270039521520899</v>
      </c>
      <c r="L42">
        <v>0.62388454964013695</v>
      </c>
      <c r="M42">
        <v>0.55100989263294597</v>
      </c>
      <c r="N42">
        <v>0.96410961878582901</v>
      </c>
      <c r="O42">
        <v>0.77016728858000405</v>
      </c>
      <c r="P42">
        <v>0.51365051240955595</v>
      </c>
      <c r="Q42">
        <v>6.4021113739377605E-2</v>
      </c>
      <c r="R42">
        <v>6.2781501322693098E-2</v>
      </c>
      <c r="S42">
        <v>1.00068577001118</v>
      </c>
      <c r="T42">
        <v>0.76991177031847302</v>
      </c>
    </row>
    <row r="43" spans="1:20" x14ac:dyDescent="0.25">
      <c r="A43" t="s">
        <v>64</v>
      </c>
      <c r="B43">
        <v>-3.3422058951625</v>
      </c>
      <c r="C43">
        <v>2.1190572188413999</v>
      </c>
      <c r="D43">
        <v>-0.123931703939999</v>
      </c>
      <c r="E43">
        <v>0.98291347294417097</v>
      </c>
      <c r="F43">
        <v>-1.04309807303596</v>
      </c>
      <c r="G43">
        <v>0.37562449457830599</v>
      </c>
      <c r="H43">
        <v>-0.27411409256284403</v>
      </c>
      <c r="I43">
        <v>-0.50674354131552002</v>
      </c>
      <c r="J43">
        <v>0.116883518157126</v>
      </c>
      <c r="K43">
        <v>0.30132133504430803</v>
      </c>
      <c r="L43">
        <v>0.76357731326156297</v>
      </c>
      <c r="M43">
        <v>1.11208871761984</v>
      </c>
      <c r="N43">
        <v>0.60459250813781695</v>
      </c>
      <c r="O43">
        <v>0.33649909873313399</v>
      </c>
      <c r="P43">
        <v>-0.686083064654744</v>
      </c>
      <c r="Q43">
        <v>-1.18366610829473</v>
      </c>
      <c r="R43">
        <v>-0.17347803890885199</v>
      </c>
      <c r="S43">
        <v>-0.63499515515971705</v>
      </c>
      <c r="T43">
        <v>-0.82592969181082498</v>
      </c>
    </row>
    <row r="44" spans="1:20" x14ac:dyDescent="0.25">
      <c r="A44" t="s">
        <v>65</v>
      </c>
      <c r="B44">
        <v>-3.3392075446160101</v>
      </c>
      <c r="C44">
        <v>2.1211608687500498</v>
      </c>
      <c r="D44">
        <v>-0.12050132595667599</v>
      </c>
      <c r="E44">
        <v>1.0177295852105499</v>
      </c>
      <c r="F44">
        <v>-1.0489481677947901</v>
      </c>
      <c r="G44">
        <v>1.4005619878790199E-3</v>
      </c>
      <c r="H44">
        <v>0.40740232767115298</v>
      </c>
      <c r="I44">
        <v>-0.49946774533432298</v>
      </c>
      <c r="J44">
        <v>-0.46573269762973502</v>
      </c>
      <c r="K44">
        <v>-0.66481727963922299</v>
      </c>
      <c r="L44">
        <v>-0.44764410375502101</v>
      </c>
      <c r="M44">
        <v>-0.28597488867440402</v>
      </c>
      <c r="N44">
        <v>-7.9826615781425393E-3</v>
      </c>
      <c r="O44">
        <v>-0.47733974252350603</v>
      </c>
      <c r="P44">
        <v>-0.90994951810305802</v>
      </c>
      <c r="Q44">
        <v>-0.93615038454992505</v>
      </c>
      <c r="R44">
        <v>-0.989041409347445</v>
      </c>
      <c r="S44">
        <v>-0.58617421267175696</v>
      </c>
      <c r="T44">
        <v>0.62107577376771606</v>
      </c>
    </row>
    <row r="45" spans="1:20" x14ac:dyDescent="0.25">
      <c r="A45" t="s">
        <v>66</v>
      </c>
      <c r="B45">
        <v>-3.3434015733839102</v>
      </c>
      <c r="C45">
        <v>2.1803946289774001</v>
      </c>
      <c r="D45">
        <v>-0.13631587453333999</v>
      </c>
      <c r="E45">
        <v>0.98858434076865698</v>
      </c>
      <c r="F45">
        <v>-1.0432104401084099</v>
      </c>
      <c r="G45">
        <v>-0.59458880690498905</v>
      </c>
      <c r="H45">
        <v>-0.53850402107946804</v>
      </c>
      <c r="I45">
        <v>5.8456768184986102E-2</v>
      </c>
      <c r="J45">
        <v>-0.37611258501873801</v>
      </c>
      <c r="K45">
        <v>-9.0972493869153695E-2</v>
      </c>
      <c r="L45">
        <v>-0.83172605207931605</v>
      </c>
      <c r="M45">
        <v>-1.1530133237033</v>
      </c>
      <c r="N45">
        <v>-1.1488392592921499</v>
      </c>
      <c r="O45">
        <v>-0.84810746648663704</v>
      </c>
      <c r="P45">
        <v>-0.80498240701622104</v>
      </c>
      <c r="Q45">
        <v>-1.38079836686089E-2</v>
      </c>
      <c r="R45">
        <v>3.7825766873316999E-2</v>
      </c>
      <c r="S45">
        <v>1.40020671122588</v>
      </c>
      <c r="T45">
        <v>0.19825888984396101</v>
      </c>
    </row>
    <row r="46" spans="1:20" x14ac:dyDescent="0.25">
      <c r="A46" t="s">
        <v>67</v>
      </c>
      <c r="B46">
        <v>-3.0260426844437802</v>
      </c>
      <c r="C46">
        <v>2.6653270660165802</v>
      </c>
      <c r="D46">
        <v>-8.1802601557585494E-2</v>
      </c>
      <c r="E46">
        <v>0.119350597036565</v>
      </c>
      <c r="F46">
        <v>-1.0566599012755999</v>
      </c>
      <c r="G46">
        <v>0.18200573344641099</v>
      </c>
      <c r="H46">
        <v>-5.42636985464015E-2</v>
      </c>
      <c r="I46">
        <v>0.20535240441145999</v>
      </c>
      <c r="J46">
        <v>0.950375013675411</v>
      </c>
      <c r="K46">
        <v>0.74034136734785705</v>
      </c>
      <c r="L46">
        <v>0.82624801268169201</v>
      </c>
      <c r="M46">
        <v>8.7002360575052104E-2</v>
      </c>
      <c r="N46">
        <v>0.46823915498772001</v>
      </c>
      <c r="O46">
        <v>-0.249663447893262</v>
      </c>
      <c r="P46">
        <v>0.56620618012631097</v>
      </c>
      <c r="Q46">
        <v>0.813348265576741</v>
      </c>
      <c r="R46">
        <v>0.728550401944705</v>
      </c>
      <c r="S46">
        <v>0.882492897546581</v>
      </c>
      <c r="T46">
        <v>-0.16470257786596901</v>
      </c>
    </row>
    <row r="47" spans="1:20" x14ac:dyDescent="0.25">
      <c r="A47" t="s">
        <v>68</v>
      </c>
      <c r="B47">
        <v>-3.35484283078361</v>
      </c>
      <c r="C47">
        <v>2.1527766312869501</v>
      </c>
      <c r="D47">
        <v>-0.13192436685268699</v>
      </c>
      <c r="E47">
        <v>1.0211731144420999</v>
      </c>
      <c r="F47">
        <v>-1.0458601494361099</v>
      </c>
      <c r="G47">
        <v>0.97901573752752402</v>
      </c>
      <c r="H47">
        <v>1.3036906493173901</v>
      </c>
      <c r="I47">
        <v>0.90790134497280195</v>
      </c>
      <c r="J47">
        <v>0.72708802250326299</v>
      </c>
      <c r="K47">
        <v>0.43213045970442598</v>
      </c>
      <c r="L47">
        <v>-1.08693116525117</v>
      </c>
      <c r="M47">
        <v>-0.60619341394386494</v>
      </c>
      <c r="N47">
        <v>-2.5236550987046601E-2</v>
      </c>
      <c r="O47">
        <v>0.18113282587344401</v>
      </c>
      <c r="P47">
        <v>7.7206154356707996E-2</v>
      </c>
      <c r="Q47">
        <v>-4.3654877866248498E-2</v>
      </c>
      <c r="R47">
        <v>-0.45500540809594298</v>
      </c>
      <c r="S47">
        <v>-1.3935881353780499</v>
      </c>
      <c r="T47">
        <v>-1.1777294737496</v>
      </c>
    </row>
    <row r="48" spans="1:20" x14ac:dyDescent="0.25">
      <c r="A48" t="s">
        <v>69</v>
      </c>
      <c r="B48">
        <v>-3.36009607317536</v>
      </c>
      <c r="C48">
        <v>2.1450068549643899</v>
      </c>
      <c r="D48">
        <v>-0.12714622030731701</v>
      </c>
      <c r="E48">
        <v>0.99827958285134999</v>
      </c>
      <c r="F48">
        <v>-1.0756466458834799</v>
      </c>
      <c r="G48">
        <v>0.191628659427277</v>
      </c>
      <c r="H48">
        <v>0.33617365599969801</v>
      </c>
      <c r="I48">
        <v>0.99119981261870405</v>
      </c>
      <c r="J48">
        <v>0.31165454429556999</v>
      </c>
      <c r="K48">
        <v>2.32405384065568E-2</v>
      </c>
      <c r="L48">
        <v>0.64866855827213599</v>
      </c>
      <c r="M48">
        <v>0.73430422879173296</v>
      </c>
      <c r="N48">
        <v>0.57511961595439598</v>
      </c>
      <c r="O48">
        <v>0.66836242356748499</v>
      </c>
      <c r="P48">
        <v>-0.45603169355109702</v>
      </c>
      <c r="Q48">
        <v>-2.3506811984317699E-2</v>
      </c>
      <c r="R48">
        <v>-1.2263071725150301</v>
      </c>
      <c r="S48">
        <v>-0.89763899187989604</v>
      </c>
      <c r="T48">
        <v>-0.50739838031642603</v>
      </c>
    </row>
    <row r="49" spans="1:20" x14ac:dyDescent="0.25">
      <c r="A49" t="s">
        <v>70</v>
      </c>
      <c r="B49">
        <v>-3.35467944002909</v>
      </c>
      <c r="C49">
        <v>2.1020628866828801</v>
      </c>
      <c r="D49">
        <v>-0.123749473183041</v>
      </c>
      <c r="E49">
        <v>0.98376287818010399</v>
      </c>
      <c r="F49">
        <v>-1.0409735958522299</v>
      </c>
      <c r="G49">
        <v>-0.24912071501004099</v>
      </c>
      <c r="H49">
        <v>0.51914621615295697</v>
      </c>
      <c r="I49">
        <v>0.59572354391806204</v>
      </c>
      <c r="J49">
        <v>0.690572248514431</v>
      </c>
      <c r="K49">
        <v>0.393229340478911</v>
      </c>
      <c r="L49">
        <v>-0.51723117678552299</v>
      </c>
      <c r="M49">
        <v>-1.4738164415094299</v>
      </c>
      <c r="N49">
        <v>-0.85525723136349596</v>
      </c>
      <c r="O49">
        <v>-0.63288391282535605</v>
      </c>
      <c r="P49">
        <v>-0.21484762867725801</v>
      </c>
      <c r="Q49">
        <v>0.30819787140850002</v>
      </c>
      <c r="R49">
        <v>0.87998800701642099</v>
      </c>
      <c r="S49">
        <v>0.69136591983955198</v>
      </c>
      <c r="T49">
        <v>0.39503676686759298</v>
      </c>
    </row>
    <row r="50" spans="1:20" x14ac:dyDescent="0.25">
      <c r="A50" t="s">
        <v>71</v>
      </c>
      <c r="B50">
        <v>-3.3561059073308801</v>
      </c>
      <c r="C50">
        <v>2.14295312553568</v>
      </c>
      <c r="D50">
        <v>-0.12886184164898801</v>
      </c>
      <c r="E50">
        <v>1.0028070053716001</v>
      </c>
      <c r="F50">
        <v>-1.0516643937302399</v>
      </c>
      <c r="G50">
        <v>0.54784275991530296</v>
      </c>
      <c r="H50">
        <v>-0.187614962364923</v>
      </c>
      <c r="I50">
        <v>-0.12991744459065599</v>
      </c>
      <c r="J50">
        <v>0.33049782165640201</v>
      </c>
      <c r="K50">
        <v>0.157427666890465</v>
      </c>
      <c r="L50">
        <v>0.476934172939669</v>
      </c>
      <c r="M50">
        <v>0.79932775452573801</v>
      </c>
      <c r="N50">
        <v>0.87384077892115897</v>
      </c>
      <c r="O50">
        <v>3.8968142883416802E-2</v>
      </c>
      <c r="P50">
        <v>-0.48276947282115201</v>
      </c>
      <c r="Q50">
        <v>-0.35228561332230601</v>
      </c>
      <c r="R50">
        <v>6.3446564387339699E-2</v>
      </c>
      <c r="S50">
        <v>-0.26476624555324701</v>
      </c>
      <c r="T50">
        <v>-0.86588857376446804</v>
      </c>
    </row>
    <row r="51" spans="1:20" x14ac:dyDescent="0.25">
      <c r="A51" t="s">
        <v>72</v>
      </c>
      <c r="B51">
        <v>-3.3619642551263502</v>
      </c>
      <c r="C51">
        <v>2.1204661831479199</v>
      </c>
      <c r="D51">
        <v>-0.12876107919513399</v>
      </c>
      <c r="E51">
        <v>0.99999223207518295</v>
      </c>
      <c r="F51">
        <v>-1.0612442499363399</v>
      </c>
      <c r="G51">
        <v>-0.50367698262628502</v>
      </c>
      <c r="H51">
        <v>-0.468311592792089</v>
      </c>
      <c r="I51">
        <v>-6.4723921372003695E-2</v>
      </c>
      <c r="J51">
        <v>0.66858164043901103</v>
      </c>
      <c r="K51">
        <v>0.80840704477705105</v>
      </c>
      <c r="L51">
        <v>5.4381884959899901E-2</v>
      </c>
      <c r="M51">
        <v>0.54893971157453303</v>
      </c>
      <c r="N51">
        <v>0.47129015579387201</v>
      </c>
      <c r="O51">
        <v>-0.13163906854982199</v>
      </c>
      <c r="P51">
        <v>-8.7546969048512599E-2</v>
      </c>
      <c r="Q51">
        <v>-0.151148833897539</v>
      </c>
      <c r="R51">
        <v>-0.144097494152649</v>
      </c>
      <c r="S51">
        <v>0.16525512879430099</v>
      </c>
      <c r="T51">
        <v>-0.269363307068887</v>
      </c>
    </row>
    <row r="52" spans="1:20" x14ac:dyDescent="0.25">
      <c r="A52" t="s">
        <v>73</v>
      </c>
      <c r="B52">
        <v>-3.3424743499069201</v>
      </c>
      <c r="C52">
        <v>2.0569193312453899</v>
      </c>
      <c r="D52">
        <v>-0.120266796276185</v>
      </c>
      <c r="E52">
        <v>1.0118773682736599</v>
      </c>
      <c r="F52">
        <v>-1.03059905851078</v>
      </c>
      <c r="G52">
        <v>1.0245212956291401</v>
      </c>
      <c r="H52">
        <v>0.43223814286018802</v>
      </c>
      <c r="I52">
        <v>0.30831252230402301</v>
      </c>
      <c r="J52">
        <v>0.37152840010719701</v>
      </c>
      <c r="K52">
        <v>-0.16778933893470199</v>
      </c>
      <c r="L52">
        <v>-0.21577996979311601</v>
      </c>
      <c r="M52">
        <v>-0.499804583356665</v>
      </c>
      <c r="N52">
        <v>-0.28241267343431797</v>
      </c>
      <c r="O52">
        <v>-0.75040233707638304</v>
      </c>
      <c r="P52">
        <v>-1.10996083607832</v>
      </c>
      <c r="Q52">
        <v>-0.58151663806662901</v>
      </c>
      <c r="R52">
        <v>-1.0713066535933</v>
      </c>
      <c r="S52">
        <v>-0.63667229050603702</v>
      </c>
      <c r="T52">
        <v>-0.66700857130184998</v>
      </c>
    </row>
    <row r="53" spans="1:20" x14ac:dyDescent="0.25">
      <c r="A53" t="s">
        <v>74</v>
      </c>
      <c r="B53">
        <v>-3.3484525327193499</v>
      </c>
      <c r="C53">
        <v>2.1266224385076899</v>
      </c>
      <c r="D53">
        <v>-0.12289148700050199</v>
      </c>
      <c r="E53">
        <v>1.0022507891475501</v>
      </c>
      <c r="F53">
        <v>-1.0606438767063699</v>
      </c>
      <c r="G53">
        <v>0.37600614371997398</v>
      </c>
      <c r="H53">
        <v>0.817620861643513</v>
      </c>
      <c r="I53">
        <v>1.5177051397225001</v>
      </c>
      <c r="J53">
        <v>1.7116044697782</v>
      </c>
      <c r="K53">
        <v>1.1766882332986</v>
      </c>
      <c r="L53">
        <v>0.183836265276939</v>
      </c>
      <c r="M53">
        <v>-0.20602360249901699</v>
      </c>
      <c r="N53">
        <v>0.35212070069180601</v>
      </c>
      <c r="O53">
        <v>0.27705603503703002</v>
      </c>
      <c r="P53">
        <v>0.111479180461323</v>
      </c>
      <c r="Q53">
        <v>2.89333364966828E-2</v>
      </c>
      <c r="R53">
        <v>0.52047124825466196</v>
      </c>
      <c r="S53">
        <v>0.116953651018678</v>
      </c>
      <c r="T53">
        <v>5.0621573488746401E-2</v>
      </c>
    </row>
    <row r="54" spans="1:20" x14ac:dyDescent="0.25">
      <c r="A54" t="s">
        <v>75</v>
      </c>
      <c r="B54">
        <v>-3.3530601153621502</v>
      </c>
      <c r="C54">
        <v>2.1197272071611701</v>
      </c>
      <c r="D54">
        <v>-0.123777337607408</v>
      </c>
      <c r="E54">
        <v>1.03284389225151</v>
      </c>
      <c r="F54">
        <v>-1.0644490315614601</v>
      </c>
      <c r="G54">
        <v>0.300265755779277</v>
      </c>
      <c r="H54">
        <v>-0.79143432411788595</v>
      </c>
      <c r="I54">
        <v>0.477071544714125</v>
      </c>
      <c r="J54">
        <v>-0.23143961223894999</v>
      </c>
      <c r="K54">
        <v>-0.258540255498313</v>
      </c>
      <c r="L54">
        <v>-0.58924909759795396</v>
      </c>
      <c r="M54">
        <v>-0.14589727269884301</v>
      </c>
      <c r="N54">
        <v>-0.50965042876279598</v>
      </c>
      <c r="O54">
        <v>0.214056777074694</v>
      </c>
      <c r="P54">
        <v>-1.37309192840547E-3</v>
      </c>
      <c r="Q54">
        <v>0.55830333620068595</v>
      </c>
      <c r="R54">
        <v>0.22516906239551401</v>
      </c>
      <c r="S54">
        <v>0.14104125956241001</v>
      </c>
      <c r="T54">
        <v>0.17416166017457399</v>
      </c>
    </row>
    <row r="55" spans="1:20" x14ac:dyDescent="0.25">
      <c r="A55" t="s">
        <v>76</v>
      </c>
      <c r="B55">
        <v>-3.3480428240487901</v>
      </c>
      <c r="C55">
        <v>1.94007514611479</v>
      </c>
      <c r="D55">
        <v>-0.12678106144964299</v>
      </c>
      <c r="E55">
        <v>0.98501116918085496</v>
      </c>
      <c r="F55">
        <v>-0.99840974353880496</v>
      </c>
      <c r="G55">
        <v>-0.65876485269198404</v>
      </c>
      <c r="H55">
        <v>-0.460645466780084</v>
      </c>
      <c r="I55">
        <v>0.20704480686486301</v>
      </c>
      <c r="J55">
        <v>0.23742553306443101</v>
      </c>
      <c r="K55">
        <v>-0.34111585337330302</v>
      </c>
      <c r="L55">
        <v>-0.61831588982280705</v>
      </c>
      <c r="M55">
        <v>-0.75779469874229499</v>
      </c>
      <c r="N55">
        <v>-0.62307397866249303</v>
      </c>
      <c r="O55">
        <v>-1.1679567965162601</v>
      </c>
      <c r="P55">
        <v>-0.92356404914760404</v>
      </c>
      <c r="Q55">
        <v>-0.66444928668313596</v>
      </c>
      <c r="R55">
        <v>-0.34716992285394899</v>
      </c>
      <c r="S55">
        <v>-0.58375582418306604</v>
      </c>
      <c r="T55">
        <v>-0.26488887324159799</v>
      </c>
    </row>
    <row r="56" spans="1:20" x14ac:dyDescent="0.25">
      <c r="A56" t="s">
        <v>77</v>
      </c>
      <c r="B56">
        <v>-3.3429318708186502</v>
      </c>
      <c r="C56">
        <v>2.1016352944228198</v>
      </c>
      <c r="D56">
        <v>-0.12735534834276899</v>
      </c>
      <c r="E56">
        <v>0.99665169903738704</v>
      </c>
      <c r="F56">
        <v>-1.0273593027510799</v>
      </c>
      <c r="G56">
        <v>0.39428290319920001</v>
      </c>
      <c r="H56">
        <v>-0.24271334564646599</v>
      </c>
      <c r="I56">
        <v>-0.24888126056112</v>
      </c>
      <c r="J56">
        <v>-0.61494211933963905</v>
      </c>
      <c r="K56">
        <v>-0.385130003966766</v>
      </c>
      <c r="L56">
        <v>-0.78968613453486802</v>
      </c>
      <c r="M56">
        <v>-0.647354096703603</v>
      </c>
      <c r="N56">
        <v>-0.51451865161757604</v>
      </c>
      <c r="O56">
        <v>-0.141451196913814</v>
      </c>
      <c r="P56">
        <v>0.171926170534074</v>
      </c>
      <c r="Q56">
        <v>0.52114223397747295</v>
      </c>
      <c r="R56">
        <v>0.20469866853117699</v>
      </c>
      <c r="S56">
        <v>0.84858763776860102</v>
      </c>
      <c r="T56">
        <v>0.53926850104163504</v>
      </c>
    </row>
    <row r="57" spans="1:20" x14ac:dyDescent="0.25">
      <c r="A57" t="s">
        <v>78</v>
      </c>
      <c r="B57">
        <v>-3.33644277960923</v>
      </c>
      <c r="C57">
        <v>2.1113166808879602</v>
      </c>
      <c r="D57">
        <v>-0.131599740460246</v>
      </c>
      <c r="E57">
        <v>1.0201229725997401</v>
      </c>
      <c r="F57">
        <v>-1.0379591720874599</v>
      </c>
      <c r="G57">
        <v>-0.42890314516731098</v>
      </c>
      <c r="H57">
        <v>-0.36416087968951399</v>
      </c>
      <c r="I57">
        <v>-1.0859452001309999</v>
      </c>
      <c r="J57">
        <v>-0.396282333277582</v>
      </c>
      <c r="K57">
        <v>-1.31359058965825</v>
      </c>
      <c r="L57">
        <v>-1.09707090015256</v>
      </c>
      <c r="M57">
        <v>-1.1385673381325401</v>
      </c>
      <c r="N57">
        <v>-1.9794803020407102E-3</v>
      </c>
      <c r="O57">
        <v>0.438885847624785</v>
      </c>
      <c r="P57">
        <v>1.4550075131060201</v>
      </c>
      <c r="Q57">
        <v>0.14917452752329599</v>
      </c>
      <c r="R57">
        <v>-0.161695672306609</v>
      </c>
      <c r="S57">
        <v>-0.124850045836825</v>
      </c>
      <c r="T57">
        <v>-1.71163334292165E-2</v>
      </c>
    </row>
    <row r="58" spans="1:20" x14ac:dyDescent="0.25">
      <c r="A58" t="s">
        <v>79</v>
      </c>
      <c r="B58">
        <v>-3.3557420384697001</v>
      </c>
      <c r="C58">
        <v>2.1568617379047699</v>
      </c>
      <c r="D58">
        <v>-0.122855345293788</v>
      </c>
      <c r="E58">
        <v>1.00676222427531</v>
      </c>
      <c r="F58">
        <v>-1.05441920624694</v>
      </c>
      <c r="G58">
        <v>1.1691730000055101</v>
      </c>
      <c r="H58">
        <v>-2.2205343806411201E-2</v>
      </c>
      <c r="I58">
        <v>-0.47210722345088602</v>
      </c>
      <c r="J58">
        <v>-0.65728487279099401</v>
      </c>
      <c r="K58">
        <v>-4.8068718276718797E-2</v>
      </c>
      <c r="L58">
        <v>-0.50714103267630595</v>
      </c>
      <c r="M58">
        <v>0.61290407911564504</v>
      </c>
      <c r="N58">
        <v>0.81379336856767204</v>
      </c>
      <c r="O58">
        <v>0.47613710386750102</v>
      </c>
      <c r="P58">
        <v>6.9813143338870398E-2</v>
      </c>
      <c r="Q58">
        <v>-0.49959706897387701</v>
      </c>
      <c r="R58">
        <v>-0.78690331788038004</v>
      </c>
      <c r="S58">
        <v>-0.55306705716570304</v>
      </c>
      <c r="T58">
        <v>-0.14290404288921801</v>
      </c>
    </row>
    <row r="59" spans="1:20" x14ac:dyDescent="0.25">
      <c r="A59" t="s">
        <v>80</v>
      </c>
      <c r="B59">
        <v>-3.3593635189938298</v>
      </c>
      <c r="C59">
        <v>2.0736176269122599</v>
      </c>
      <c r="D59">
        <v>-0.137786873622185</v>
      </c>
      <c r="E59">
        <v>0.98575205378964903</v>
      </c>
      <c r="F59">
        <v>-1.0337263498929701</v>
      </c>
      <c r="G59">
        <v>-0.32425366111520998</v>
      </c>
      <c r="H59">
        <v>-0.95335771338241004</v>
      </c>
      <c r="I59">
        <v>-1.8098740034221401</v>
      </c>
      <c r="J59">
        <v>-0.63538682493054999</v>
      </c>
      <c r="K59">
        <v>-0.30119952803349997</v>
      </c>
      <c r="L59">
        <v>-0.44842231759865497</v>
      </c>
      <c r="M59">
        <v>-0.78253924561641597</v>
      </c>
      <c r="N59">
        <v>-0.79823904822237002</v>
      </c>
      <c r="O59">
        <v>0.44032788019853297</v>
      </c>
      <c r="P59">
        <v>0.20077759247722299</v>
      </c>
      <c r="Q59">
        <v>-0.18197117866839799</v>
      </c>
      <c r="R59">
        <v>-0.32713734986333198</v>
      </c>
      <c r="S59">
        <v>0.43745852161862397</v>
      </c>
      <c r="T59">
        <v>-0.12024955769215601</v>
      </c>
    </row>
    <row r="60" spans="1:20" x14ac:dyDescent="0.25">
      <c r="A60" t="s">
        <v>81</v>
      </c>
      <c r="B60">
        <v>-3.0583563758911798</v>
      </c>
      <c r="C60">
        <v>2.64659295871953</v>
      </c>
      <c r="D60">
        <v>-9.9138814124684504E-2</v>
      </c>
      <c r="E60">
        <v>5.7118457072352899E-2</v>
      </c>
      <c r="F60">
        <v>-1.0491153502508299</v>
      </c>
      <c r="G60">
        <v>0.71942618537444403</v>
      </c>
      <c r="H60">
        <v>1.22256389811802</v>
      </c>
      <c r="I60">
        <v>1.5423443060337201</v>
      </c>
      <c r="J60">
        <v>0.68418529342710999</v>
      </c>
      <c r="K60">
        <v>1.7436028962464001</v>
      </c>
      <c r="L60">
        <v>1.6675732604233899</v>
      </c>
      <c r="M60">
        <v>0.90386171174878904</v>
      </c>
      <c r="N60">
        <v>0.97396083283898405</v>
      </c>
      <c r="O60">
        <v>0.53551191861677105</v>
      </c>
      <c r="P60">
        <v>0.35635179875164502</v>
      </c>
      <c r="Q60">
        <v>0.37148675949494803</v>
      </c>
      <c r="R60">
        <v>0.67658075675765805</v>
      </c>
      <c r="S60">
        <v>-0.21540603986711401</v>
      </c>
      <c r="T60">
        <v>-0.40178956213948103</v>
      </c>
    </row>
    <row r="61" spans="1:20" x14ac:dyDescent="0.25">
      <c r="A61" t="s">
        <v>82</v>
      </c>
      <c r="B61">
        <v>-3.3451745136925801</v>
      </c>
      <c r="C61">
        <v>2.0538881573078198</v>
      </c>
      <c r="D61">
        <v>-0.13278404640220101</v>
      </c>
      <c r="E61">
        <v>1.0471217580795</v>
      </c>
      <c r="F61">
        <v>-1.03828975414703</v>
      </c>
      <c r="G61">
        <v>-0.33934204803997498</v>
      </c>
      <c r="H61">
        <v>-0.24776726365331</v>
      </c>
      <c r="I61">
        <v>-0.85103175673530096</v>
      </c>
      <c r="J61">
        <v>-0.91227569654169605</v>
      </c>
      <c r="K61">
        <v>-0.13340443921694201</v>
      </c>
      <c r="L61">
        <v>-0.43200716898223401</v>
      </c>
      <c r="M61">
        <v>-1.1991164342568801</v>
      </c>
      <c r="N61">
        <v>-1.10408526890748</v>
      </c>
      <c r="O61">
        <v>-0.65982153524332199</v>
      </c>
      <c r="P61">
        <v>-0.550945435928472</v>
      </c>
      <c r="Q61">
        <v>-7.8726020088981802E-2</v>
      </c>
      <c r="R61">
        <v>0.33262163510354198</v>
      </c>
      <c r="S61">
        <v>0.395332263360822</v>
      </c>
      <c r="T61">
        <v>0.148262811379691</v>
      </c>
    </row>
    <row r="62" spans="1:20" x14ac:dyDescent="0.25">
      <c r="A62" t="s">
        <v>83</v>
      </c>
      <c r="B62">
        <v>-3.3557287829651101</v>
      </c>
      <c r="C62">
        <v>2.08598688497041</v>
      </c>
      <c r="D62">
        <v>-0.12326863603834901</v>
      </c>
      <c r="E62">
        <v>1.0077703973256</v>
      </c>
      <c r="F62">
        <v>-1.0408823184001399</v>
      </c>
      <c r="G62">
        <v>-0.55393380738658604</v>
      </c>
      <c r="H62">
        <v>0.13790171774162699</v>
      </c>
      <c r="I62">
        <v>0.30047376805828802</v>
      </c>
      <c r="J62">
        <v>-2.37313939349722E-2</v>
      </c>
      <c r="K62">
        <v>6.2792380759982405E-2</v>
      </c>
      <c r="L62">
        <v>0.11214320198236399</v>
      </c>
      <c r="M62">
        <v>-0.197819826209302</v>
      </c>
      <c r="N62">
        <v>-0.30509136403082499</v>
      </c>
      <c r="O62">
        <v>-0.31236768062693698</v>
      </c>
      <c r="P62">
        <v>-3.1161606359817601E-2</v>
      </c>
      <c r="Q62">
        <v>-0.43398784486860198</v>
      </c>
      <c r="R62">
        <v>-0.43186569164343802</v>
      </c>
      <c r="S62">
        <v>-0.33753522711536599</v>
      </c>
      <c r="T62">
        <v>-0.26998017290132198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2A05-387A-481A-96B9-0E0445AEEF74}">
  <dimension ref="A1:K42"/>
  <sheetViews>
    <sheetView workbookViewId="0">
      <selection activeCell="C2" sqref="C2"/>
    </sheetView>
  </sheetViews>
  <sheetFormatPr defaultRowHeight="15" x14ac:dyDescent="0.25"/>
  <sheetData>
    <row r="1" spans="1:11" x14ac:dyDescent="0.25">
      <c r="A1" t="s">
        <v>3</v>
      </c>
      <c r="B1" t="s">
        <v>4</v>
      </c>
      <c r="C1" t="s">
        <v>5</v>
      </c>
      <c r="D1" t="s">
        <v>85</v>
      </c>
      <c r="E1" t="s">
        <v>0</v>
      </c>
      <c r="F1" t="s">
        <v>92</v>
      </c>
      <c r="G1" t="s">
        <v>93</v>
      </c>
      <c r="H1" t="s">
        <v>94</v>
      </c>
      <c r="I1" t="s">
        <v>95</v>
      </c>
      <c r="J1" t="s">
        <v>97</v>
      </c>
      <c r="K1" t="s">
        <v>100</v>
      </c>
    </row>
    <row r="2" spans="1:11" x14ac:dyDescent="0.25">
      <c r="A2">
        <v>10</v>
      </c>
      <c r="B2">
        <v>10</v>
      </c>
      <c r="C2">
        <v>5000</v>
      </c>
      <c r="D2">
        <v>0.6</v>
      </c>
      <c r="E2">
        <v>0.5</v>
      </c>
      <c r="F2">
        <v>0</v>
      </c>
      <c r="G2">
        <v>1</v>
      </c>
      <c r="H2" s="2" t="s">
        <v>99</v>
      </c>
      <c r="I2" t="s">
        <v>96</v>
      </c>
      <c r="J2" t="s">
        <v>98</v>
      </c>
      <c r="K2" t="s">
        <v>101</v>
      </c>
    </row>
    <row r="4" spans="1:11" x14ac:dyDescent="0.25">
      <c r="A4" t="s">
        <v>86</v>
      </c>
      <c r="B4">
        <v>0.4</v>
      </c>
      <c r="C4" t="s">
        <v>87</v>
      </c>
    </row>
    <row r="5" spans="1:11" x14ac:dyDescent="0.25">
      <c r="A5" t="s">
        <v>89</v>
      </c>
      <c r="B5">
        <v>0.4</v>
      </c>
      <c r="C5" t="s">
        <v>88</v>
      </c>
    </row>
    <row r="6" spans="1:11" x14ac:dyDescent="0.25">
      <c r="A6" t="s">
        <v>90</v>
      </c>
      <c r="B6">
        <v>0.55320000000000003</v>
      </c>
    </row>
    <row r="8" spans="1:11" x14ac:dyDescent="0.25"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11" x14ac:dyDescent="0.25">
      <c r="A9" t="s">
        <v>13</v>
      </c>
      <c r="B9">
        <v>-4</v>
      </c>
      <c r="C9">
        <v>2</v>
      </c>
      <c r="D9">
        <v>-0.15</v>
      </c>
      <c r="E9">
        <v>1</v>
      </c>
      <c r="F9">
        <v>-1</v>
      </c>
    </row>
    <row r="10" spans="1:11" x14ac:dyDescent="0.25">
      <c r="A10" t="s">
        <v>33</v>
      </c>
      <c r="B10">
        <f>AVERAGE(B15:B42)</f>
        <v>0.53578857142857139</v>
      </c>
      <c r="C10">
        <f>AVERAGE(C15:C42)</f>
        <v>2.0823160714285716</v>
      </c>
      <c r="D10">
        <f>AVERAGE(D15:D42)</f>
        <v>-0.15139853571428574</v>
      </c>
      <c r="E10">
        <f>AVERAGE(E15:E42)</f>
        <v>1.0120092285714288</v>
      </c>
      <c r="F10">
        <f>AVERAGE(F15:F42)</f>
        <v>-1.0388672857142855</v>
      </c>
    </row>
    <row r="11" spans="1:11" x14ac:dyDescent="0.25">
      <c r="A11" t="s">
        <v>84</v>
      </c>
      <c r="B11">
        <f>_xlfn.STDEV.P(B15:B42)</f>
        <v>5.0700634361364703</v>
      </c>
      <c r="C11">
        <f>_xlfn.STDEV.P(C15:C42)</f>
        <v>0.13594024591549897</v>
      </c>
      <c r="D11">
        <f>_xlfn.STDEV.P(D15:D42)</f>
        <v>1.7104124200826406E-2</v>
      </c>
      <c r="E11">
        <f>_xlfn.STDEV.P(E15:E42)</f>
        <v>0.29527601399326897</v>
      </c>
      <c r="F11">
        <f>_xlfn.STDEV.P(F15:F42)</f>
        <v>2.5792567983899582E-2</v>
      </c>
    </row>
    <row r="15" spans="1:11" x14ac:dyDescent="0.25">
      <c r="A15" t="s">
        <v>34</v>
      </c>
      <c r="B15">
        <v>1.0485800000000001</v>
      </c>
      <c r="C15">
        <v>2.1204900000000002</v>
      </c>
      <c r="D15">
        <v>-0.14595900000000001</v>
      </c>
      <c r="E15">
        <v>1.06077</v>
      </c>
      <c r="F15">
        <v>-1.0623400000000001</v>
      </c>
    </row>
    <row r="16" spans="1:11" x14ac:dyDescent="0.25">
      <c r="A16" t="s">
        <v>35</v>
      </c>
      <c r="B16">
        <v>-4.1943000000000001</v>
      </c>
      <c r="C16">
        <v>2.0908799999999998</v>
      </c>
      <c r="D16">
        <v>-0.16051699999999999</v>
      </c>
      <c r="E16">
        <v>1.08805</v>
      </c>
      <c r="F16">
        <v>-1.01922</v>
      </c>
    </row>
    <row r="17" spans="1:6" x14ac:dyDescent="0.25">
      <c r="A17" t="s">
        <v>37</v>
      </c>
      <c r="B17">
        <v>-2.6214400000000002</v>
      </c>
      <c r="C17">
        <v>2.0482900000000002</v>
      </c>
      <c r="D17">
        <v>-0.14225199999999999</v>
      </c>
      <c r="E17">
        <v>1.1150599999999999</v>
      </c>
      <c r="F17">
        <v>-1.0423199999999999</v>
      </c>
    </row>
    <row r="18" spans="1:6" x14ac:dyDescent="0.25">
      <c r="A18" t="s">
        <v>39</v>
      </c>
      <c r="B18">
        <v>8.3960699999999999</v>
      </c>
      <c r="C18">
        <v>1.88819</v>
      </c>
      <c r="D18">
        <v>-0.15965399999999999</v>
      </c>
      <c r="E18">
        <v>0.437338</v>
      </c>
      <c r="F18">
        <v>-0.95652000000000004</v>
      </c>
    </row>
    <row r="19" spans="1:6" x14ac:dyDescent="0.25">
      <c r="A19" t="s">
        <v>40</v>
      </c>
      <c r="B19">
        <v>-1.6777200000000001</v>
      </c>
      <c r="C19">
        <v>1.9128000000000001</v>
      </c>
      <c r="D19">
        <v>-0.13367499999999999</v>
      </c>
      <c r="E19">
        <v>1.0277700000000001</v>
      </c>
      <c r="F19">
        <v>-1.06193</v>
      </c>
    </row>
    <row r="20" spans="1:6" x14ac:dyDescent="0.25">
      <c r="A20" t="s">
        <v>41</v>
      </c>
      <c r="B20">
        <v>-4.1943000000000001</v>
      </c>
      <c r="C20">
        <v>2.1326200000000002</v>
      </c>
      <c r="D20">
        <v>-0.15052199999999999</v>
      </c>
      <c r="E20">
        <v>1.13324</v>
      </c>
      <c r="F20">
        <v>-1.0419700000000001</v>
      </c>
    </row>
    <row r="21" spans="1:6" x14ac:dyDescent="0.25">
      <c r="A21" t="s">
        <v>42</v>
      </c>
      <c r="B21">
        <v>-5.2428800000000004</v>
      </c>
      <c r="C21">
        <v>1.98434</v>
      </c>
      <c r="D21">
        <v>-0.14030500000000001</v>
      </c>
      <c r="E21">
        <v>1.1402600000000001</v>
      </c>
      <c r="F21">
        <v>-1.05135</v>
      </c>
    </row>
    <row r="22" spans="1:6" x14ac:dyDescent="0.25">
      <c r="A22" t="s">
        <v>43</v>
      </c>
      <c r="B22">
        <v>8.3886099999999999</v>
      </c>
      <c r="C22">
        <v>2.0491299999999999</v>
      </c>
      <c r="D22">
        <v>-0.18620300000000001</v>
      </c>
      <c r="E22">
        <v>1.3498000000000001</v>
      </c>
      <c r="F22">
        <v>-1.03298</v>
      </c>
    </row>
    <row r="23" spans="1:6" x14ac:dyDescent="0.25">
      <c r="A23" t="s">
        <v>44</v>
      </c>
      <c r="B23">
        <v>-1.6777200000000001</v>
      </c>
      <c r="C23">
        <v>2.1338900000000001</v>
      </c>
      <c r="D23">
        <v>-0.14821100000000001</v>
      </c>
      <c r="E23">
        <v>1.2921199999999999</v>
      </c>
      <c r="F23">
        <v>-1.0587800000000001</v>
      </c>
    </row>
    <row r="24" spans="1:6" x14ac:dyDescent="0.25">
      <c r="A24" t="s">
        <v>45</v>
      </c>
      <c r="B24">
        <v>-5.2428800000000004</v>
      </c>
      <c r="C24">
        <v>2.0284300000000002</v>
      </c>
      <c r="D24">
        <v>-0.139795</v>
      </c>
      <c r="E24">
        <v>1.17008</v>
      </c>
      <c r="F24">
        <v>-1.05802</v>
      </c>
    </row>
    <row r="25" spans="1:6" x14ac:dyDescent="0.25">
      <c r="A25" t="s">
        <v>47</v>
      </c>
      <c r="B25">
        <v>-2.6214400000000002</v>
      </c>
      <c r="C25">
        <v>2.05593</v>
      </c>
      <c r="D25">
        <v>-0.14318</v>
      </c>
      <c r="E25">
        <v>1.1501300000000001</v>
      </c>
      <c r="F25">
        <v>-1.0523800000000001</v>
      </c>
    </row>
    <row r="26" spans="1:6" x14ac:dyDescent="0.25">
      <c r="A26" t="s">
        <v>48</v>
      </c>
      <c r="B26">
        <v>8.3886099999999999</v>
      </c>
      <c r="C26">
        <v>2.26214</v>
      </c>
      <c r="D26">
        <v>-0.163243</v>
      </c>
      <c r="E26">
        <v>1.20133</v>
      </c>
      <c r="F26">
        <v>-1.05315</v>
      </c>
    </row>
    <row r="27" spans="1:6" x14ac:dyDescent="0.25">
      <c r="A27" t="s">
        <v>49</v>
      </c>
      <c r="B27">
        <v>4.1943000000000001</v>
      </c>
      <c r="C27">
        <v>2.1774</v>
      </c>
      <c r="D27">
        <v>-0.153748</v>
      </c>
      <c r="E27">
        <v>1.23184</v>
      </c>
      <c r="F27">
        <v>-1.05629</v>
      </c>
    </row>
    <row r="28" spans="1:6" x14ac:dyDescent="0.25">
      <c r="A28" t="s">
        <v>50</v>
      </c>
      <c r="B28">
        <v>-4.1943000000000001</v>
      </c>
      <c r="C28">
        <v>2.1916000000000002</v>
      </c>
      <c r="D28">
        <v>-0.15921399999999999</v>
      </c>
      <c r="E28">
        <v>1.09724</v>
      </c>
      <c r="F28">
        <v>-1.0632699999999999</v>
      </c>
    </row>
    <row r="29" spans="1:6" x14ac:dyDescent="0.25">
      <c r="A29" t="s">
        <v>51</v>
      </c>
      <c r="B29">
        <v>-2.6214499999999998</v>
      </c>
      <c r="C29">
        <v>2.0623999999999998</v>
      </c>
      <c r="D29">
        <v>-0.15335599999999999</v>
      </c>
      <c r="E29">
        <v>1.2418199999999999</v>
      </c>
      <c r="F29">
        <v>-1.0543499999999999</v>
      </c>
    </row>
    <row r="30" spans="1:6" x14ac:dyDescent="0.25">
      <c r="A30" t="s">
        <v>52</v>
      </c>
      <c r="B30">
        <v>4.1943000000000001</v>
      </c>
      <c r="C30">
        <v>2.53105</v>
      </c>
      <c r="D30">
        <v>-0.140267</v>
      </c>
      <c r="E30">
        <v>8.8137400000000005E-2</v>
      </c>
      <c r="F30">
        <v>-1.0446899999999999</v>
      </c>
    </row>
    <row r="31" spans="1:6" x14ac:dyDescent="0.25">
      <c r="A31" t="s">
        <v>53</v>
      </c>
      <c r="B31">
        <v>-6.71089</v>
      </c>
      <c r="C31">
        <v>2.0838800000000002</v>
      </c>
      <c r="D31">
        <v>-0.22021199999999999</v>
      </c>
      <c r="E31">
        <v>0.31734099999999998</v>
      </c>
      <c r="F31">
        <v>-0.96044399999999996</v>
      </c>
    </row>
    <row r="32" spans="1:6" x14ac:dyDescent="0.25">
      <c r="A32" t="s">
        <v>54</v>
      </c>
      <c r="B32">
        <v>4.1943000000000001</v>
      </c>
      <c r="C32">
        <v>2.1424400000000001</v>
      </c>
      <c r="D32">
        <v>-0.147893</v>
      </c>
      <c r="E32">
        <v>1.0459000000000001</v>
      </c>
      <c r="F32">
        <v>-1.0388900000000001</v>
      </c>
    </row>
    <row r="33" spans="1:6" x14ac:dyDescent="0.25">
      <c r="A33" t="s">
        <v>55</v>
      </c>
      <c r="B33">
        <v>4.1943000000000001</v>
      </c>
      <c r="C33">
        <v>2.1634000000000002</v>
      </c>
      <c r="D33">
        <v>-0.15604599999999999</v>
      </c>
      <c r="E33">
        <v>1.1262700000000001</v>
      </c>
      <c r="F33">
        <v>-1.04478</v>
      </c>
    </row>
    <row r="34" spans="1:6" x14ac:dyDescent="0.25">
      <c r="A34" t="s">
        <v>56</v>
      </c>
      <c r="B34">
        <v>-2.6214499999999998</v>
      </c>
      <c r="C34">
        <v>2.0065599999999999</v>
      </c>
      <c r="D34">
        <v>-0.144672</v>
      </c>
      <c r="E34">
        <v>1.18954</v>
      </c>
      <c r="F34">
        <v>-1.0607500000000001</v>
      </c>
    </row>
    <row r="35" spans="1:6" x14ac:dyDescent="0.25">
      <c r="A35" t="s">
        <v>57</v>
      </c>
      <c r="B35">
        <v>6.71089</v>
      </c>
      <c r="C35">
        <v>2.0508299999999999</v>
      </c>
      <c r="D35">
        <v>-0.15523799999999999</v>
      </c>
      <c r="E35">
        <v>1.0387599999999999</v>
      </c>
      <c r="F35">
        <v>-1.02565</v>
      </c>
    </row>
    <row r="36" spans="1:6" x14ac:dyDescent="0.25">
      <c r="A36" t="s">
        <v>58</v>
      </c>
      <c r="B36">
        <v>-1.0485800000000001</v>
      </c>
      <c r="C36">
        <v>2.0114299999999998</v>
      </c>
      <c r="D36">
        <v>-0.14468800000000001</v>
      </c>
      <c r="E36">
        <v>1.1125700000000001</v>
      </c>
      <c r="F36">
        <v>-1.02</v>
      </c>
    </row>
    <row r="37" spans="1:6" x14ac:dyDescent="0.25">
      <c r="A37" t="s">
        <v>59</v>
      </c>
      <c r="B37">
        <v>-2.6214400000000002</v>
      </c>
      <c r="C37">
        <v>2.0343900000000001</v>
      </c>
      <c r="D37">
        <v>-0.139185</v>
      </c>
      <c r="E37">
        <v>1.0497399999999999</v>
      </c>
      <c r="F37">
        <v>-1.0343100000000001</v>
      </c>
    </row>
    <row r="38" spans="1:6" x14ac:dyDescent="0.25">
      <c r="A38" t="s">
        <v>60</v>
      </c>
      <c r="B38">
        <v>1.6777200000000001</v>
      </c>
      <c r="C38">
        <v>2.2900100000000001</v>
      </c>
      <c r="D38">
        <v>-0.153474</v>
      </c>
      <c r="E38">
        <v>0.509737</v>
      </c>
      <c r="F38">
        <v>-1.0466200000000001</v>
      </c>
    </row>
    <row r="39" spans="1:6" x14ac:dyDescent="0.25">
      <c r="A39" t="s">
        <v>61</v>
      </c>
      <c r="B39">
        <v>4.1943000000000001</v>
      </c>
      <c r="C39">
        <v>2.1168</v>
      </c>
      <c r="D39">
        <v>-0.14724400000000001</v>
      </c>
      <c r="E39">
        <v>1.10439</v>
      </c>
      <c r="F39">
        <v>-1.0499499999999999</v>
      </c>
    </row>
    <row r="40" spans="1:6" x14ac:dyDescent="0.25">
      <c r="A40" t="s">
        <v>62</v>
      </c>
      <c r="B40">
        <v>-8.3886099999999999</v>
      </c>
      <c r="C40">
        <v>1.8033999999999999</v>
      </c>
      <c r="D40">
        <v>-0.13318199999999999</v>
      </c>
      <c r="E40">
        <v>1.0847599999999999</v>
      </c>
      <c r="F40">
        <v>-1.0182500000000001</v>
      </c>
    </row>
    <row r="41" spans="1:6" x14ac:dyDescent="0.25">
      <c r="A41" t="s">
        <v>63</v>
      </c>
      <c r="B41">
        <v>6.71089</v>
      </c>
      <c r="C41">
        <v>1.9795</v>
      </c>
      <c r="D41">
        <v>-0.14227400000000001</v>
      </c>
      <c r="E41">
        <v>0.87787499999999996</v>
      </c>
      <c r="F41">
        <v>-1.0425599999999999</v>
      </c>
    </row>
    <row r="42" spans="1:6" x14ac:dyDescent="0.25">
      <c r="A42" t="s">
        <v>64</v>
      </c>
      <c r="B42">
        <v>8.3886099999999999</v>
      </c>
      <c r="C42">
        <v>1.9526300000000001</v>
      </c>
      <c r="D42">
        <v>-0.13494999999999999</v>
      </c>
      <c r="E42">
        <v>1.0543899999999999</v>
      </c>
      <c r="F42">
        <v>-1.0365200000000001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3308A-AE2E-4371-BEE3-069FA03DBB9F}">
  <dimension ref="A1:K33"/>
  <sheetViews>
    <sheetView topLeftCell="A7" workbookViewId="0">
      <selection activeCell="G2" sqref="G2:K32"/>
    </sheetView>
  </sheetViews>
  <sheetFormatPr defaultRowHeight="15" x14ac:dyDescent="0.25"/>
  <cols>
    <col min="1" max="5" width="11.42578125" bestFit="1" customWidth="1"/>
  </cols>
  <sheetData>
    <row r="1" spans="1:11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</row>
    <row r="2" spans="1:11" x14ac:dyDescent="0.25">
      <c r="A2" t="s">
        <v>107</v>
      </c>
      <c r="B2">
        <v>2.1204900000000002</v>
      </c>
      <c r="C2">
        <v>-0.14595900000000001</v>
      </c>
      <c r="D2">
        <v>1.06077</v>
      </c>
      <c r="E2">
        <v>-1.0623400000000001</v>
      </c>
      <c r="G2" t="str">
        <f>SUBSTITUTE(SUBSTITUTE(SUBSTITUTE(test[[#This Row],[Column1]],"f6",""),"f7",""),"f5","")</f>
        <v>1.04858</v>
      </c>
      <c r="H2" t="str">
        <f>SUBSTITUTE(SUBSTITUTE(SUBSTITUTE(test[[#This Row],[Column2]],"f6",""),"f7",""),"f5","")</f>
        <v>2.12049</v>
      </c>
      <c r="I2" t="str">
        <f>SUBSTITUTE(SUBSTITUTE(SUBSTITUTE(test[[#This Row],[Column3]],"f6",""),"f7",""),"f5","")</f>
        <v>-0.145959</v>
      </c>
      <c r="J2" t="str">
        <f>SUBSTITUTE(SUBSTITUTE(SUBSTITUTE(test[[#This Row],[Column4]],"f6",""),"f7",""),"f5","")</f>
        <v>1.06077</v>
      </c>
      <c r="K2" t="str">
        <f>SUBSTITUTE(SUBSTITUTE(SUBSTITUTE(test[[#This Row],[Column5]],"f6",""),"f7",""),"f5","")</f>
        <v>-1.06234</v>
      </c>
    </row>
    <row r="3" spans="1:11" x14ac:dyDescent="0.25">
      <c r="A3" t="s">
        <v>108</v>
      </c>
      <c r="B3">
        <v>2.0908799999999998</v>
      </c>
      <c r="C3">
        <v>-0.16051699999999999</v>
      </c>
      <c r="D3">
        <v>1.08805</v>
      </c>
      <c r="E3">
        <v>-1.01922</v>
      </c>
      <c r="G3" t="str">
        <f>SUBSTITUTE(SUBSTITUTE(SUBSTITUTE(test[[#This Row],[Column1]],"f6",""),"f7",""),"f5","")</f>
        <v>-4.1943</v>
      </c>
      <c r="H3" t="str">
        <f>SUBSTITUTE(SUBSTITUTE(SUBSTITUTE(test[[#This Row],[Column2]],"f6",""),"f7",""),"f5","")</f>
        <v>2.09088</v>
      </c>
      <c r="I3" t="str">
        <f>SUBSTITUTE(SUBSTITUTE(SUBSTITUTE(test[[#This Row],[Column3]],"f6",""),"f7",""),"f5","")</f>
        <v>-0.160517</v>
      </c>
      <c r="J3" t="str">
        <f>SUBSTITUTE(SUBSTITUTE(SUBSTITUTE(test[[#This Row],[Column4]],"f6",""),"f7",""),"f5","")</f>
        <v>1.08805</v>
      </c>
      <c r="K3" t="str">
        <f>SUBSTITUTE(SUBSTITUTE(SUBSTITUTE(test[[#This Row],[Column5]],"f6",""),"f7",""),"f5","")</f>
        <v>-1.01922</v>
      </c>
    </row>
    <row r="4" spans="1:11" x14ac:dyDescent="0.25">
      <c r="A4" t="s">
        <v>109</v>
      </c>
      <c r="B4">
        <v>2.0193699999999999</v>
      </c>
      <c r="C4">
        <v>-0.141292</v>
      </c>
      <c r="D4">
        <v>1.09389</v>
      </c>
      <c r="E4">
        <v>-1.0441800000000001</v>
      </c>
    </row>
    <row r="5" spans="1:11" x14ac:dyDescent="0.25">
      <c r="A5" t="s">
        <v>110</v>
      </c>
      <c r="B5">
        <v>2.0482900000000002</v>
      </c>
      <c r="C5">
        <v>-0.14225199999999999</v>
      </c>
      <c r="D5">
        <v>1.1150599999999999</v>
      </c>
      <c r="E5">
        <v>-1.0423199999999999</v>
      </c>
      <c r="G5" t="str">
        <f>SUBSTITUTE(SUBSTITUTE(SUBSTITUTE(test[[#This Row],[Column1]],"f6",""),"f7",""),"f5","")</f>
        <v>-2.62144</v>
      </c>
      <c r="H5" t="str">
        <f>SUBSTITUTE(SUBSTITUTE(SUBSTITUTE(test[[#This Row],[Column2]],"f6",""),"f7",""),"f5","")</f>
        <v>2.04829</v>
      </c>
      <c r="I5" t="str">
        <f>SUBSTITUTE(SUBSTITUTE(SUBSTITUTE(test[[#This Row],[Column3]],"f6",""),"f7",""),"f5","")</f>
        <v>-0.142252</v>
      </c>
      <c r="J5" t="str">
        <f>SUBSTITUTE(SUBSTITUTE(SUBSTITUTE(test[[#This Row],[Column4]],"f6",""),"f7",""),"f5","")</f>
        <v>1.11506</v>
      </c>
      <c r="K5" t="str">
        <f>SUBSTITUTE(SUBSTITUTE(SUBSTITUTE(test[[#This Row],[Column5]],"f6",""),"f7",""),"f5","")</f>
        <v>-1.04232</v>
      </c>
    </row>
    <row r="6" spans="1:11" x14ac:dyDescent="0.25">
      <c r="A6" t="s">
        <v>111</v>
      </c>
      <c r="B6">
        <v>2.0191300000000001</v>
      </c>
      <c r="C6">
        <v>-0.14194999999999999</v>
      </c>
      <c r="D6">
        <v>1.1376500000000001</v>
      </c>
      <c r="E6">
        <v>-1.0389900000000001</v>
      </c>
    </row>
    <row r="7" spans="1:11" x14ac:dyDescent="0.25">
      <c r="A7" t="s">
        <v>112</v>
      </c>
      <c r="B7">
        <v>1.88819</v>
      </c>
      <c r="C7">
        <v>-0.15965399999999999</v>
      </c>
      <c r="D7">
        <v>0.437338</v>
      </c>
      <c r="E7">
        <v>-0.95652000000000004</v>
      </c>
      <c r="G7" t="str">
        <f>SUBSTITUTE(SUBSTITUTE(SUBSTITUTE(test[[#This Row],[Column1]],"f6",""),"f7",""),"f5","")</f>
        <v>8.39607</v>
      </c>
      <c r="H7" t="str">
        <f>SUBSTITUTE(SUBSTITUTE(SUBSTITUTE(test[[#This Row],[Column2]],"f6",""),"f7",""),"f5","")</f>
        <v>1.88819</v>
      </c>
      <c r="I7" t="str">
        <f>SUBSTITUTE(SUBSTITUTE(SUBSTITUTE(test[[#This Row],[Column3]],"f6",""),"f7",""),"f5","")</f>
        <v>-0.159654</v>
      </c>
      <c r="J7" t="str">
        <f>SUBSTITUTE(SUBSTITUTE(SUBSTITUTE(test[[#This Row],[Column4]],"f6",""),"f7",""),"f5","")</f>
        <v>0.437338</v>
      </c>
      <c r="K7" t="str">
        <f>SUBSTITUTE(SUBSTITUTE(SUBSTITUTE(test[[#This Row],[Column5]],"f6",""),"f7",""),"f5","")</f>
        <v>-0.95652</v>
      </c>
    </row>
    <row r="8" spans="1:11" x14ac:dyDescent="0.25">
      <c r="A8" t="s">
        <v>113</v>
      </c>
      <c r="B8">
        <v>1.9128000000000001</v>
      </c>
      <c r="C8">
        <v>-0.13367499999999999</v>
      </c>
      <c r="D8">
        <v>1.0277700000000001</v>
      </c>
      <c r="E8">
        <v>-1.06193</v>
      </c>
      <c r="G8" t="str">
        <f>SUBSTITUTE(SUBSTITUTE(SUBSTITUTE(test[[#This Row],[Column1]],"f6",""),"f7",""),"f5","")</f>
        <v>-1.67772</v>
      </c>
      <c r="H8" t="str">
        <f>SUBSTITUTE(SUBSTITUTE(SUBSTITUTE(test[[#This Row],[Column2]],"f6",""),"f7",""),"f5","")</f>
        <v>1.9128</v>
      </c>
      <c r="I8" t="str">
        <f>SUBSTITUTE(SUBSTITUTE(SUBSTITUTE(test[[#This Row],[Column3]],"f6",""),"f7",""),"f5","")</f>
        <v>-0.133675</v>
      </c>
      <c r="J8" t="str">
        <f>SUBSTITUTE(SUBSTITUTE(SUBSTITUTE(test[[#This Row],[Column4]],"f6",""),"f7",""),"f5","")</f>
        <v>1.02777</v>
      </c>
      <c r="K8" t="str">
        <f>SUBSTITUTE(SUBSTITUTE(SUBSTITUTE(test[[#This Row],[Column5]],"f6",""),"f7",""),"f5","")</f>
        <v>-1.06193</v>
      </c>
    </row>
    <row r="9" spans="1:11" x14ac:dyDescent="0.25">
      <c r="A9" t="s">
        <v>108</v>
      </c>
      <c r="B9">
        <v>2.1326200000000002</v>
      </c>
      <c r="C9">
        <v>-0.15052199999999999</v>
      </c>
      <c r="D9">
        <v>1.13324</v>
      </c>
      <c r="E9">
        <v>-1.0419700000000001</v>
      </c>
      <c r="G9" t="str">
        <f>SUBSTITUTE(SUBSTITUTE(SUBSTITUTE(test[[#This Row],[Column1]],"f6",""),"f7",""),"f5","")</f>
        <v>-4.1943</v>
      </c>
      <c r="H9" t="str">
        <f>SUBSTITUTE(SUBSTITUTE(SUBSTITUTE(test[[#This Row],[Column2]],"f6",""),"f7",""),"f5","")</f>
        <v>2.13262</v>
      </c>
      <c r="I9" t="str">
        <f>SUBSTITUTE(SUBSTITUTE(SUBSTITUTE(test[[#This Row],[Column3]],"f6",""),"f7",""),"f5","")</f>
        <v>-0.150522</v>
      </c>
      <c r="J9" t="str">
        <f>SUBSTITUTE(SUBSTITUTE(SUBSTITUTE(test[[#This Row],[Column4]],"f6",""),"f7",""),"f5","")</f>
        <v>1.13324</v>
      </c>
      <c r="K9" t="str">
        <f>SUBSTITUTE(SUBSTITUTE(SUBSTITUTE(test[[#This Row],[Column5]],"f6",""),"f7",""),"f5","")</f>
        <v>-1.04197</v>
      </c>
    </row>
    <row r="10" spans="1:11" x14ac:dyDescent="0.25">
      <c r="A10" t="s">
        <v>114</v>
      </c>
      <c r="B10">
        <v>1.98434</v>
      </c>
      <c r="C10">
        <v>-0.14030500000000001</v>
      </c>
      <c r="D10">
        <v>1.1402600000000001</v>
      </c>
      <c r="E10">
        <v>-1.05135</v>
      </c>
      <c r="G10" t="str">
        <f>SUBSTITUTE(SUBSTITUTE(SUBSTITUTE(test[[#This Row],[Column1]],"f6",""),"f7",""),"f5","")</f>
        <v>-5.24288</v>
      </c>
      <c r="H10" t="str">
        <f>SUBSTITUTE(SUBSTITUTE(SUBSTITUTE(test[[#This Row],[Column2]],"f6",""),"f7",""),"f5","")</f>
        <v>1.98434</v>
      </c>
      <c r="I10" t="str">
        <f>SUBSTITUTE(SUBSTITUTE(SUBSTITUTE(test[[#This Row],[Column3]],"f6",""),"f7",""),"f5","")</f>
        <v>-0.140305</v>
      </c>
      <c r="J10" t="str">
        <f>SUBSTITUTE(SUBSTITUTE(SUBSTITUTE(test[[#This Row],[Column4]],"f6",""),"f7",""),"f5","")</f>
        <v>1.14026</v>
      </c>
      <c r="K10" t="str">
        <f>SUBSTITUTE(SUBSTITUTE(SUBSTITUTE(test[[#This Row],[Column5]],"f6",""),"f7",""),"f5","")</f>
        <v>-1.05135</v>
      </c>
    </row>
    <row r="11" spans="1:11" x14ac:dyDescent="0.25">
      <c r="A11" t="s">
        <v>115</v>
      </c>
      <c r="B11">
        <v>2.0491299999999999</v>
      </c>
      <c r="C11">
        <v>-0.18620300000000001</v>
      </c>
      <c r="D11">
        <v>1.3498000000000001</v>
      </c>
      <c r="E11">
        <v>-1.03298</v>
      </c>
      <c r="G11" t="str">
        <f>SUBSTITUTE(SUBSTITUTE(SUBSTITUTE(test[[#This Row],[Column1]],"f6",""),"f7",""),"f5","")</f>
        <v>8.38861</v>
      </c>
      <c r="H11" t="str">
        <f>SUBSTITUTE(SUBSTITUTE(SUBSTITUTE(test[[#This Row],[Column2]],"f6",""),"f7",""),"f5","")</f>
        <v>2.04913</v>
      </c>
      <c r="I11" t="str">
        <f>SUBSTITUTE(SUBSTITUTE(SUBSTITUTE(test[[#This Row],[Column3]],"f6",""),"f7",""),"f5","")</f>
        <v>-0.186203</v>
      </c>
      <c r="J11" t="str">
        <f>SUBSTITUTE(SUBSTITUTE(SUBSTITUTE(test[[#This Row],[Column4]],"f6",""),"f7",""),"f5","")</f>
        <v>1.3498</v>
      </c>
      <c r="K11" t="str">
        <f>SUBSTITUTE(SUBSTITUTE(SUBSTITUTE(test[[#This Row],[Column5]],"f6",""),"f7",""),"f5","")</f>
        <v>-1.03298</v>
      </c>
    </row>
    <row r="12" spans="1:11" x14ac:dyDescent="0.25">
      <c r="A12" t="s">
        <v>113</v>
      </c>
      <c r="B12">
        <v>2.1338900000000001</v>
      </c>
      <c r="C12">
        <v>-0.14821100000000001</v>
      </c>
      <c r="D12">
        <v>1.2921199999999999</v>
      </c>
      <c r="E12">
        <v>-1.0587800000000001</v>
      </c>
      <c r="G12" t="str">
        <f>SUBSTITUTE(SUBSTITUTE(SUBSTITUTE(test[[#This Row],[Column1]],"f6",""),"f7",""),"f5","")</f>
        <v>-1.67772</v>
      </c>
      <c r="H12" t="str">
        <f>SUBSTITUTE(SUBSTITUTE(SUBSTITUTE(test[[#This Row],[Column2]],"f6",""),"f7",""),"f5","")</f>
        <v>2.13389</v>
      </c>
      <c r="I12" t="str">
        <f>SUBSTITUTE(SUBSTITUTE(SUBSTITUTE(test[[#This Row],[Column3]],"f6",""),"f7",""),"f5","")</f>
        <v>-0.148211</v>
      </c>
      <c r="J12" t="str">
        <f>SUBSTITUTE(SUBSTITUTE(SUBSTITUTE(test[[#This Row],[Column4]],"f6",""),"f7",""),"f5","")</f>
        <v>1.29212</v>
      </c>
      <c r="K12" t="str">
        <f>SUBSTITUTE(SUBSTITUTE(SUBSTITUTE(test[[#This Row],[Column5]],"f6",""),"f7",""),"f5","")</f>
        <v>-1.05878</v>
      </c>
    </row>
    <row r="13" spans="1:11" x14ac:dyDescent="0.25">
      <c r="A13" t="s">
        <v>114</v>
      </c>
      <c r="B13">
        <v>2.0284300000000002</v>
      </c>
      <c r="C13">
        <v>-0.139795</v>
      </c>
      <c r="D13">
        <v>1.17008</v>
      </c>
      <c r="E13">
        <v>-1.05802</v>
      </c>
      <c r="G13" t="str">
        <f>SUBSTITUTE(SUBSTITUTE(SUBSTITUTE(test[[#This Row],[Column1]],"f6",""),"f7",""),"f5","")</f>
        <v>-5.24288</v>
      </c>
      <c r="H13" t="str">
        <f>SUBSTITUTE(SUBSTITUTE(SUBSTITUTE(test[[#This Row],[Column2]],"f6",""),"f7",""),"f5","")</f>
        <v>2.02843</v>
      </c>
      <c r="I13" t="str">
        <f>SUBSTITUTE(SUBSTITUTE(SUBSTITUTE(test[[#This Row],[Column3]],"f6",""),"f7",""),"f5","")</f>
        <v>-0.139795</v>
      </c>
      <c r="J13" t="str">
        <f>SUBSTITUTE(SUBSTITUTE(SUBSTITUTE(test[[#This Row],[Column4]],"f6",""),"f7",""),"f5","")</f>
        <v>1.17008</v>
      </c>
      <c r="K13" t="str">
        <f>SUBSTITUTE(SUBSTITUTE(SUBSTITUTE(test[[#This Row],[Column5]],"f6",""),"f7",""),"f5","")</f>
        <v>-1.05802</v>
      </c>
    </row>
    <row r="14" spans="1:11" x14ac:dyDescent="0.25">
      <c r="A14" t="s">
        <v>116</v>
      </c>
      <c r="B14">
        <v>2.0556199999999998</v>
      </c>
      <c r="C14">
        <v>-0.14224899999999999</v>
      </c>
      <c r="D14">
        <v>1.10246</v>
      </c>
      <c r="E14">
        <v>-1.0476300000000001</v>
      </c>
    </row>
    <row r="15" spans="1:11" x14ac:dyDescent="0.25">
      <c r="A15" t="s">
        <v>110</v>
      </c>
      <c r="B15">
        <v>2.05593</v>
      </c>
      <c r="C15">
        <v>-0.14318</v>
      </c>
      <c r="D15">
        <v>1.1501300000000001</v>
      </c>
      <c r="E15">
        <v>-1.0523800000000001</v>
      </c>
      <c r="G15" t="str">
        <f>SUBSTITUTE(SUBSTITUTE(SUBSTITUTE(test[[#This Row],[Column1]],"f6",""),"f7",""),"f5","")</f>
        <v>-2.62144</v>
      </c>
      <c r="H15" t="str">
        <f>SUBSTITUTE(SUBSTITUTE(SUBSTITUTE(test[[#This Row],[Column2]],"f6",""),"f7",""),"f5","")</f>
        <v>2.05593</v>
      </c>
      <c r="I15" t="str">
        <f>SUBSTITUTE(SUBSTITUTE(SUBSTITUTE(test[[#This Row],[Column3]],"f6",""),"f7",""),"f5","")</f>
        <v>-0.14318</v>
      </c>
      <c r="J15" t="str">
        <f>SUBSTITUTE(SUBSTITUTE(SUBSTITUTE(test[[#This Row],[Column4]],"f6",""),"f7",""),"f5","")</f>
        <v>1.15013</v>
      </c>
      <c r="K15" t="str">
        <f>SUBSTITUTE(SUBSTITUTE(SUBSTITUTE(test[[#This Row],[Column5]],"f6",""),"f7",""),"f5","")</f>
        <v>-1.05238</v>
      </c>
    </row>
    <row r="16" spans="1:11" x14ac:dyDescent="0.25">
      <c r="A16" t="s">
        <v>115</v>
      </c>
      <c r="B16">
        <v>2.26214</v>
      </c>
      <c r="C16">
        <v>-0.163243</v>
      </c>
      <c r="D16">
        <v>1.20133</v>
      </c>
      <c r="E16">
        <v>-1.05315</v>
      </c>
      <c r="G16" t="str">
        <f>SUBSTITUTE(SUBSTITUTE(SUBSTITUTE(test[[#This Row],[Column1]],"f6",""),"f7",""),"f5","")</f>
        <v>8.38861</v>
      </c>
      <c r="H16" t="str">
        <f>SUBSTITUTE(SUBSTITUTE(SUBSTITUTE(test[[#This Row],[Column2]],"f6",""),"f7",""),"f5","")</f>
        <v>2.26214</v>
      </c>
      <c r="I16" t="str">
        <f>SUBSTITUTE(SUBSTITUTE(SUBSTITUTE(test[[#This Row],[Column3]],"f6",""),"f7",""),"f5","")</f>
        <v>-0.163243</v>
      </c>
      <c r="J16" t="str">
        <f>SUBSTITUTE(SUBSTITUTE(SUBSTITUTE(test[[#This Row],[Column4]],"f6",""),"f7",""),"f5","")</f>
        <v>1.20133</v>
      </c>
      <c r="K16" t="str">
        <f>SUBSTITUTE(SUBSTITUTE(SUBSTITUTE(test[[#This Row],[Column5]],"f6",""),"f7",""),"f5","")</f>
        <v>-1.05315</v>
      </c>
    </row>
    <row r="17" spans="1:11" x14ac:dyDescent="0.25">
      <c r="A17" t="s">
        <v>117</v>
      </c>
      <c r="B17">
        <v>2.1774</v>
      </c>
      <c r="C17">
        <v>-0.153748</v>
      </c>
      <c r="D17">
        <v>1.23184</v>
      </c>
      <c r="E17">
        <v>-1.05629</v>
      </c>
      <c r="G17" t="str">
        <f>SUBSTITUTE(SUBSTITUTE(SUBSTITUTE(test[[#This Row],[Column1]],"f6",""),"f7",""),"f5","")</f>
        <v>4.1943</v>
      </c>
      <c r="H17" t="str">
        <f>SUBSTITUTE(SUBSTITUTE(SUBSTITUTE(test[[#This Row],[Column2]],"f6",""),"f7",""),"f5","")</f>
        <v>2.1774</v>
      </c>
      <c r="I17" t="str">
        <f>SUBSTITUTE(SUBSTITUTE(SUBSTITUTE(test[[#This Row],[Column3]],"f6",""),"f7",""),"f5","")</f>
        <v>-0.153748</v>
      </c>
      <c r="J17" t="str">
        <f>SUBSTITUTE(SUBSTITUTE(SUBSTITUTE(test[[#This Row],[Column4]],"f6",""),"f7",""),"f5","")</f>
        <v>1.23184</v>
      </c>
      <c r="K17" t="str">
        <f>SUBSTITUTE(SUBSTITUTE(SUBSTITUTE(test[[#This Row],[Column5]],"f6",""),"f7",""),"f5","")</f>
        <v>-1.05629</v>
      </c>
    </row>
    <row r="18" spans="1:11" x14ac:dyDescent="0.25">
      <c r="A18" t="s">
        <v>108</v>
      </c>
      <c r="B18">
        <v>2.1916000000000002</v>
      </c>
      <c r="C18">
        <v>-0.15921399999999999</v>
      </c>
      <c r="D18">
        <v>1.09724</v>
      </c>
      <c r="E18">
        <v>-1.0632699999999999</v>
      </c>
      <c r="G18" t="str">
        <f>SUBSTITUTE(SUBSTITUTE(SUBSTITUTE(test[[#This Row],[Column1]],"f6",""),"f7",""),"f5","")</f>
        <v>-4.1943</v>
      </c>
      <c r="H18" t="str">
        <f>SUBSTITUTE(SUBSTITUTE(SUBSTITUTE(test[[#This Row],[Column2]],"f6",""),"f7",""),"f5","")</f>
        <v>2.1916</v>
      </c>
      <c r="I18" t="str">
        <f>SUBSTITUTE(SUBSTITUTE(SUBSTITUTE(test[[#This Row],[Column3]],"f6",""),"f7",""),"f5","")</f>
        <v>-0.159214</v>
      </c>
      <c r="J18" t="str">
        <f>SUBSTITUTE(SUBSTITUTE(SUBSTITUTE(test[[#This Row],[Column4]],"f6",""),"f7",""),"f5","")</f>
        <v>1.09724</v>
      </c>
      <c r="K18" t="str">
        <f>SUBSTITUTE(SUBSTITUTE(SUBSTITUTE(test[[#This Row],[Column5]],"f6",""),"f7",""),"f5","")</f>
        <v>-1.06327</v>
      </c>
    </row>
    <row r="19" spans="1:11" x14ac:dyDescent="0.25">
      <c r="A19" t="s">
        <v>118</v>
      </c>
      <c r="B19">
        <v>2.0623999999999998</v>
      </c>
      <c r="C19">
        <v>-0.15335599999999999</v>
      </c>
      <c r="D19">
        <v>1.2418199999999999</v>
      </c>
      <c r="E19">
        <v>-1.0543499999999999</v>
      </c>
      <c r="G19" t="str">
        <f>SUBSTITUTE(SUBSTITUTE(SUBSTITUTE(test[[#This Row],[Column1]],"f6",""),"f7",""),"f5","")</f>
        <v>-2.62145</v>
      </c>
      <c r="H19" t="str">
        <f>SUBSTITUTE(SUBSTITUTE(SUBSTITUTE(test[[#This Row],[Column2]],"f6",""),"f7",""),"f5","")</f>
        <v>2.0624</v>
      </c>
      <c r="I19" t="str">
        <f>SUBSTITUTE(SUBSTITUTE(SUBSTITUTE(test[[#This Row],[Column3]],"f6",""),"f7",""),"f5","")</f>
        <v>-0.153356</v>
      </c>
      <c r="J19" t="str">
        <f>SUBSTITUTE(SUBSTITUTE(SUBSTITUTE(test[[#This Row],[Column4]],"f6",""),"f7",""),"f5","")</f>
        <v>1.24182</v>
      </c>
      <c r="K19" t="str">
        <f>SUBSTITUTE(SUBSTITUTE(SUBSTITUTE(test[[#This Row],[Column5]],"f6",""),"f7",""),"f5","")</f>
        <v>-1.05435</v>
      </c>
    </row>
    <row r="20" spans="1:11" x14ac:dyDescent="0.25">
      <c r="A20" t="s">
        <v>117</v>
      </c>
      <c r="B20">
        <v>2.53105</v>
      </c>
      <c r="C20">
        <v>-0.140267</v>
      </c>
      <c r="D20">
        <v>8.8137400000000005E-2</v>
      </c>
      <c r="E20">
        <v>-1.0446899999999999</v>
      </c>
      <c r="G20" t="str">
        <f>SUBSTITUTE(SUBSTITUTE(SUBSTITUTE(test[[#This Row],[Column1]],"f6",""),"f7",""),"f5","")</f>
        <v>4.1943</v>
      </c>
      <c r="H20" t="str">
        <f>SUBSTITUTE(SUBSTITUTE(SUBSTITUTE(test[[#This Row],[Column2]],"f6",""),"f7",""),"f5","")</f>
        <v>2.53105</v>
      </c>
      <c r="I20" t="str">
        <f>SUBSTITUTE(SUBSTITUTE(SUBSTITUTE(test[[#This Row],[Column3]],"f6",""),"f7",""),"f5","")</f>
        <v>-0.140267</v>
      </c>
      <c r="J20" t="str">
        <f>SUBSTITUTE(SUBSTITUTE(SUBSTITUTE(test[[#This Row],[Column4]],"f6",""),"f7",""),"f5","")</f>
        <v>0.0881374</v>
      </c>
      <c r="K20" t="str">
        <f>SUBSTITUTE(SUBSTITUTE(SUBSTITUTE(test[[#This Row],[Column5]],"f6",""),"f7",""),"f5","")</f>
        <v>-1.04469</v>
      </c>
    </row>
    <row r="21" spans="1:11" x14ac:dyDescent="0.25">
      <c r="A21" t="s">
        <v>119</v>
      </c>
      <c r="B21">
        <v>2.0838800000000002</v>
      </c>
      <c r="C21">
        <v>-0.22021199999999999</v>
      </c>
      <c r="D21">
        <v>0.31734099999999998</v>
      </c>
      <c r="E21">
        <v>-0.96044399999999996</v>
      </c>
      <c r="G21" t="str">
        <f>SUBSTITUTE(SUBSTITUTE(SUBSTITUTE(test[[#This Row],[Column1]],"f6",""),"f7",""),"f5","")</f>
        <v>-6.71089</v>
      </c>
      <c r="H21" t="str">
        <f>SUBSTITUTE(SUBSTITUTE(SUBSTITUTE(test[[#This Row],[Column2]],"f6",""),"f7",""),"f5","")</f>
        <v>2.08388</v>
      </c>
      <c r="I21" t="str">
        <f>SUBSTITUTE(SUBSTITUTE(SUBSTITUTE(test[[#This Row],[Column3]],"f6",""),"f7",""),"f5","")</f>
        <v>-0.220212</v>
      </c>
      <c r="J21" t="str">
        <f>SUBSTITUTE(SUBSTITUTE(SUBSTITUTE(test[[#This Row],[Column4]],"f6",""),"f7",""),"f5","")</f>
        <v>0.317341</v>
      </c>
      <c r="K21" t="str">
        <f>SUBSTITUTE(SUBSTITUTE(SUBSTITUTE(test[[#This Row],[Column5]],"f6",""),"f7",""),"f5","")</f>
        <v>-0.960444</v>
      </c>
    </row>
    <row r="22" spans="1:11" x14ac:dyDescent="0.25">
      <c r="A22" t="s">
        <v>117</v>
      </c>
      <c r="B22">
        <v>2.1424400000000001</v>
      </c>
      <c r="C22">
        <v>-0.147893</v>
      </c>
      <c r="D22">
        <v>1.0459000000000001</v>
      </c>
      <c r="E22">
        <v>-1.0388900000000001</v>
      </c>
      <c r="G22" t="str">
        <f>SUBSTITUTE(SUBSTITUTE(SUBSTITUTE(test[[#This Row],[Column1]],"f6",""),"f7",""),"f5","")</f>
        <v>4.1943</v>
      </c>
      <c r="H22" t="str">
        <f>SUBSTITUTE(SUBSTITUTE(SUBSTITUTE(test[[#This Row],[Column2]],"f6",""),"f7",""),"f5","")</f>
        <v>2.14244</v>
      </c>
      <c r="I22" t="str">
        <f>SUBSTITUTE(SUBSTITUTE(SUBSTITUTE(test[[#This Row],[Column3]],"f6",""),"f7",""),"f5","")</f>
        <v>-0.147893</v>
      </c>
      <c r="J22" t="str">
        <f>SUBSTITUTE(SUBSTITUTE(SUBSTITUTE(test[[#This Row],[Column4]],"f6",""),"f7",""),"f5","")</f>
        <v>1.0459</v>
      </c>
      <c r="K22" t="str">
        <f>SUBSTITUTE(SUBSTITUTE(SUBSTITUTE(test[[#This Row],[Column5]],"f6",""),"f7",""),"f5","")</f>
        <v>-1.03889</v>
      </c>
    </row>
    <row r="23" spans="1:11" x14ac:dyDescent="0.25">
      <c r="A23" t="s">
        <v>117</v>
      </c>
      <c r="B23">
        <v>2.1634000000000002</v>
      </c>
      <c r="C23">
        <v>-0.15604599999999999</v>
      </c>
      <c r="D23">
        <v>1.1262700000000001</v>
      </c>
      <c r="E23">
        <v>-1.04478</v>
      </c>
      <c r="G23" t="str">
        <f>SUBSTITUTE(SUBSTITUTE(SUBSTITUTE(test[[#This Row],[Column1]],"f6",""),"f7",""),"f5","")</f>
        <v>4.1943</v>
      </c>
      <c r="H23" t="str">
        <f>SUBSTITUTE(SUBSTITUTE(SUBSTITUTE(test[[#This Row],[Column2]],"f6",""),"f7",""),"f5","")</f>
        <v>2.1634</v>
      </c>
      <c r="I23" t="str">
        <f>SUBSTITUTE(SUBSTITUTE(SUBSTITUTE(test[[#This Row],[Column3]],"f6",""),"f7",""),"f5","")</f>
        <v>-0.156046</v>
      </c>
      <c r="J23" t="str">
        <f>SUBSTITUTE(SUBSTITUTE(SUBSTITUTE(test[[#This Row],[Column4]],"f6",""),"f7",""),"f5","")</f>
        <v>1.12627</v>
      </c>
      <c r="K23" t="str">
        <f>SUBSTITUTE(SUBSTITUTE(SUBSTITUTE(test[[#This Row],[Column5]],"f6",""),"f7",""),"f5","")</f>
        <v>-1.04478</v>
      </c>
    </row>
    <row r="24" spans="1:11" x14ac:dyDescent="0.25">
      <c r="A24" t="s">
        <v>118</v>
      </c>
      <c r="B24">
        <v>2.0065599999999999</v>
      </c>
      <c r="C24">
        <v>-0.144672</v>
      </c>
      <c r="D24">
        <v>1.18954</v>
      </c>
      <c r="E24">
        <v>-1.0607500000000001</v>
      </c>
      <c r="G24" t="str">
        <f>SUBSTITUTE(SUBSTITUTE(SUBSTITUTE(test[[#This Row],[Column1]],"f6",""),"f7",""),"f5","")</f>
        <v>-2.62145</v>
      </c>
      <c r="H24" t="str">
        <f>SUBSTITUTE(SUBSTITUTE(SUBSTITUTE(test[[#This Row],[Column2]],"f6",""),"f7",""),"f5","")</f>
        <v>2.00656</v>
      </c>
      <c r="I24" t="str">
        <f>SUBSTITUTE(SUBSTITUTE(SUBSTITUTE(test[[#This Row],[Column3]],"f6",""),"f7",""),"f5","")</f>
        <v>-0.144672</v>
      </c>
      <c r="J24" t="str">
        <f>SUBSTITUTE(SUBSTITUTE(SUBSTITUTE(test[[#This Row],[Column4]],"f6",""),"f7",""),"f5","")</f>
        <v>1.18954</v>
      </c>
      <c r="K24" t="str">
        <f>SUBSTITUTE(SUBSTITUTE(SUBSTITUTE(test[[#This Row],[Column5]],"f6",""),"f7",""),"f5","")</f>
        <v>-1.06075</v>
      </c>
    </row>
    <row r="25" spans="1:11" x14ac:dyDescent="0.25">
      <c r="A25" t="s">
        <v>120</v>
      </c>
      <c r="B25">
        <v>2.0508299999999999</v>
      </c>
      <c r="C25">
        <v>-0.15523799999999999</v>
      </c>
      <c r="D25">
        <v>1.0387599999999999</v>
      </c>
      <c r="E25">
        <v>-1.02565</v>
      </c>
      <c r="G25" t="str">
        <f>SUBSTITUTE(SUBSTITUTE(SUBSTITUTE(test[[#This Row],[Column1]],"f6",""),"f7",""),"f5","")</f>
        <v>6.71089</v>
      </c>
      <c r="H25" t="str">
        <f>SUBSTITUTE(SUBSTITUTE(SUBSTITUTE(test[[#This Row],[Column2]],"f6",""),"f7",""),"f5","")</f>
        <v>2.05083</v>
      </c>
      <c r="I25" t="str">
        <f>SUBSTITUTE(SUBSTITUTE(SUBSTITUTE(test[[#This Row],[Column3]],"f6",""),"f7",""),"f5","")</f>
        <v>-0.155238</v>
      </c>
      <c r="J25" t="str">
        <f>SUBSTITUTE(SUBSTITUTE(SUBSTITUTE(test[[#This Row],[Column4]],"f6",""),"f7",""),"f5","")</f>
        <v>1.03876</v>
      </c>
      <c r="K25" t="str">
        <f>SUBSTITUTE(SUBSTITUTE(SUBSTITUTE(test[[#This Row],[Column5]],"f6",""),"f7",""),"f5","")</f>
        <v>-1.02565</v>
      </c>
    </row>
    <row r="26" spans="1:11" x14ac:dyDescent="0.25">
      <c r="A26" t="s">
        <v>121</v>
      </c>
      <c r="B26">
        <v>2.0114299999999998</v>
      </c>
      <c r="C26">
        <v>-0.14468800000000001</v>
      </c>
      <c r="D26">
        <v>1.1125700000000001</v>
      </c>
      <c r="E26">
        <v>-1.02</v>
      </c>
      <c r="G26" t="str">
        <f>SUBSTITUTE(SUBSTITUTE(SUBSTITUTE(test[[#This Row],[Column1]],"f6",""),"f7",""),"f5","")</f>
        <v>-1.04858</v>
      </c>
      <c r="H26" t="str">
        <f>SUBSTITUTE(SUBSTITUTE(SUBSTITUTE(test[[#This Row],[Column2]],"f6",""),"f7",""),"f5","")</f>
        <v>2.01143</v>
      </c>
      <c r="I26" t="str">
        <f>SUBSTITUTE(SUBSTITUTE(SUBSTITUTE(test[[#This Row],[Column3]],"f6",""),"f7",""),"f5","")</f>
        <v>-0.144688</v>
      </c>
      <c r="J26" t="str">
        <f>SUBSTITUTE(SUBSTITUTE(SUBSTITUTE(test[[#This Row],[Column4]],"f6",""),"f7",""),"f5","")</f>
        <v>1.11257</v>
      </c>
      <c r="K26" t="str">
        <f>SUBSTITUTE(SUBSTITUTE(SUBSTITUTE(test[[#This Row],[Column5]],"f6",""),"f7",""),"f5","")</f>
        <v>-1.02</v>
      </c>
    </row>
    <row r="27" spans="1:11" x14ac:dyDescent="0.25">
      <c r="A27" t="s">
        <v>110</v>
      </c>
      <c r="B27">
        <v>2.0343900000000001</v>
      </c>
      <c r="C27">
        <v>-0.139185</v>
      </c>
      <c r="D27">
        <v>1.0497399999999999</v>
      </c>
      <c r="E27">
        <v>-1.0343100000000001</v>
      </c>
      <c r="G27" t="str">
        <f>SUBSTITUTE(SUBSTITUTE(SUBSTITUTE(test[[#This Row],[Column1]],"f6",""),"f7",""),"f5","")</f>
        <v>-2.62144</v>
      </c>
      <c r="H27" t="str">
        <f>SUBSTITUTE(SUBSTITUTE(SUBSTITUTE(test[[#This Row],[Column2]],"f6",""),"f7",""),"f5","")</f>
        <v>2.03439</v>
      </c>
      <c r="I27" t="str">
        <f>SUBSTITUTE(SUBSTITUTE(SUBSTITUTE(test[[#This Row],[Column3]],"f6",""),"f7",""),"f5","")</f>
        <v>-0.139185</v>
      </c>
      <c r="J27" t="str">
        <f>SUBSTITUTE(SUBSTITUTE(SUBSTITUTE(test[[#This Row],[Column4]],"f6",""),"f7",""),"f5","")</f>
        <v>1.04974</v>
      </c>
      <c r="K27" t="str">
        <f>SUBSTITUTE(SUBSTITUTE(SUBSTITUTE(test[[#This Row],[Column5]],"f6",""),"f7",""),"f5","")</f>
        <v>-1.03431</v>
      </c>
    </row>
    <row r="28" spans="1:11" x14ac:dyDescent="0.25">
      <c r="A28" t="s">
        <v>122</v>
      </c>
      <c r="B28">
        <v>2.2900100000000001</v>
      </c>
      <c r="C28">
        <v>-0.153474</v>
      </c>
      <c r="D28">
        <v>0.509737</v>
      </c>
      <c r="E28">
        <v>-1.0466200000000001</v>
      </c>
      <c r="G28" t="str">
        <f>SUBSTITUTE(SUBSTITUTE(SUBSTITUTE(test[[#This Row],[Column1]],"f6",""),"f7",""),"f5","")</f>
        <v>1.67772</v>
      </c>
      <c r="H28" t="str">
        <f>SUBSTITUTE(SUBSTITUTE(SUBSTITUTE(test[[#This Row],[Column2]],"f6",""),"f7",""),"f5","")</f>
        <v>2.29001</v>
      </c>
      <c r="I28" t="str">
        <f>SUBSTITUTE(SUBSTITUTE(SUBSTITUTE(test[[#This Row],[Column3]],"f6",""),"f7",""),"f5","")</f>
        <v>-0.153474</v>
      </c>
      <c r="J28" t="str">
        <f>SUBSTITUTE(SUBSTITUTE(SUBSTITUTE(test[[#This Row],[Column4]],"f6",""),"f7",""),"f5","")</f>
        <v>0.509737</v>
      </c>
      <c r="K28" t="str">
        <f>SUBSTITUTE(SUBSTITUTE(SUBSTITUTE(test[[#This Row],[Column5]],"f6",""),"f7",""),"f5","")</f>
        <v>-1.04662</v>
      </c>
    </row>
    <row r="29" spans="1:11" x14ac:dyDescent="0.25">
      <c r="A29" t="s">
        <v>117</v>
      </c>
      <c r="B29">
        <v>2.1168</v>
      </c>
      <c r="C29">
        <v>-0.14724400000000001</v>
      </c>
      <c r="D29">
        <v>1.10439</v>
      </c>
      <c r="E29">
        <v>-1.0499499999999999</v>
      </c>
      <c r="G29" t="str">
        <f>SUBSTITUTE(SUBSTITUTE(SUBSTITUTE(test[[#This Row],[Column1]],"f6",""),"f7",""),"f5","")</f>
        <v>4.1943</v>
      </c>
      <c r="H29" t="str">
        <f>SUBSTITUTE(SUBSTITUTE(SUBSTITUTE(test[[#This Row],[Column2]],"f6",""),"f7",""),"f5","")</f>
        <v>2.1168</v>
      </c>
      <c r="I29" t="str">
        <f>SUBSTITUTE(SUBSTITUTE(SUBSTITUTE(test[[#This Row],[Column3]],"f6",""),"f7",""),"f5","")</f>
        <v>-0.147244</v>
      </c>
      <c r="J29" t="str">
        <f>SUBSTITUTE(SUBSTITUTE(SUBSTITUTE(test[[#This Row],[Column4]],"f6",""),"f7",""),"f5","")</f>
        <v>1.10439</v>
      </c>
      <c r="K29" t="str">
        <f>SUBSTITUTE(SUBSTITUTE(SUBSTITUTE(test[[#This Row],[Column5]],"f6",""),"f7",""),"f5","")</f>
        <v>-1.04995</v>
      </c>
    </row>
    <row r="30" spans="1:11" x14ac:dyDescent="0.25">
      <c r="A30" t="s">
        <v>123</v>
      </c>
      <c r="B30">
        <v>1.8033999999999999</v>
      </c>
      <c r="C30">
        <v>-0.13318199999999999</v>
      </c>
      <c r="D30">
        <v>1.0847599999999999</v>
      </c>
      <c r="E30">
        <v>-1.0182500000000001</v>
      </c>
      <c r="G30" t="str">
        <f>SUBSTITUTE(SUBSTITUTE(SUBSTITUTE(test[[#This Row],[Column1]],"f6",""),"f7",""),"f5","")</f>
        <v>-8.38861</v>
      </c>
      <c r="H30" t="str">
        <f>SUBSTITUTE(SUBSTITUTE(SUBSTITUTE(test[[#This Row],[Column2]],"f6",""),"f7",""),"f5","")</f>
        <v>1.8034</v>
      </c>
      <c r="I30" t="str">
        <f>SUBSTITUTE(SUBSTITUTE(SUBSTITUTE(test[[#This Row],[Column3]],"f6",""),"f7",""),"f5","")</f>
        <v>-0.133182</v>
      </c>
      <c r="J30" t="str">
        <f>SUBSTITUTE(SUBSTITUTE(SUBSTITUTE(test[[#This Row],[Column4]],"f6",""),"f7",""),"f5","")</f>
        <v>1.08476</v>
      </c>
      <c r="K30" t="str">
        <f>SUBSTITUTE(SUBSTITUTE(SUBSTITUTE(test[[#This Row],[Column5]],"f6",""),"f7",""),"f5","")</f>
        <v>-1.01825</v>
      </c>
    </row>
    <row r="31" spans="1:11" x14ac:dyDescent="0.25">
      <c r="A31" t="s">
        <v>120</v>
      </c>
      <c r="B31">
        <v>1.9795</v>
      </c>
      <c r="C31">
        <v>-0.14227400000000001</v>
      </c>
      <c r="D31">
        <v>0.87787499999999996</v>
      </c>
      <c r="E31">
        <v>-1.0425599999999999</v>
      </c>
      <c r="G31" t="str">
        <f>SUBSTITUTE(SUBSTITUTE(SUBSTITUTE(test[[#This Row],[Column1]],"f6",""),"f7",""),"f5","")</f>
        <v>6.71089</v>
      </c>
      <c r="H31" t="str">
        <f>SUBSTITUTE(SUBSTITUTE(SUBSTITUTE(test[[#This Row],[Column2]],"f6",""),"f7",""),"f5","")</f>
        <v>1.9795</v>
      </c>
      <c r="I31" t="str">
        <f>SUBSTITUTE(SUBSTITUTE(SUBSTITUTE(test[[#This Row],[Column3]],"f6",""),"f7",""),"f5","")</f>
        <v>-0.142274</v>
      </c>
      <c r="J31" t="str">
        <f>SUBSTITUTE(SUBSTITUTE(SUBSTITUTE(test[[#This Row],[Column4]],"f6",""),"f7",""),"f5","")</f>
        <v>0.877875</v>
      </c>
      <c r="K31" t="str">
        <f>SUBSTITUTE(SUBSTITUTE(SUBSTITUTE(test[[#This Row],[Column5]],"f6",""),"f7",""),"f5","")</f>
        <v>-1.04256</v>
      </c>
    </row>
    <row r="32" spans="1:11" x14ac:dyDescent="0.25">
      <c r="A32" t="s">
        <v>115</v>
      </c>
      <c r="B32">
        <v>1.9526300000000001</v>
      </c>
      <c r="C32">
        <v>-0.13494999999999999</v>
      </c>
      <c r="D32">
        <v>1.0543899999999999</v>
      </c>
      <c r="E32">
        <v>-1.0365200000000001</v>
      </c>
      <c r="G32" t="str">
        <f>SUBSTITUTE(SUBSTITUTE(SUBSTITUTE(test[[#This Row],[Column1]],"f6",""),"f7",""),"f5","")</f>
        <v>8.38861</v>
      </c>
      <c r="H32" t="str">
        <f>SUBSTITUTE(SUBSTITUTE(SUBSTITUTE(test[[#This Row],[Column2]],"f6",""),"f7",""),"f5","")</f>
        <v>1.95263</v>
      </c>
      <c r="I32" t="str">
        <f>SUBSTITUTE(SUBSTITUTE(SUBSTITUTE(test[[#This Row],[Column3]],"f6",""),"f7",""),"f5","")</f>
        <v>-0.13495</v>
      </c>
      <c r="J32" t="str">
        <f>SUBSTITUTE(SUBSTITUTE(SUBSTITUTE(test[[#This Row],[Column4]],"f6",""),"f7",""),"f5","")</f>
        <v>1.05439</v>
      </c>
      <c r="K32" t="str">
        <f>SUBSTITUTE(SUBSTITUTE(SUBSTITUTE(test[[#This Row],[Column5]],"f6",""),"f7",""),"f5","")</f>
        <v>-1.03652</v>
      </c>
    </row>
    <row r="33" spans="1:5" x14ac:dyDescent="0.25">
      <c r="A33" t="s">
        <v>109</v>
      </c>
      <c r="B33">
        <v>2.01437</v>
      </c>
      <c r="C33">
        <v>-0.139653</v>
      </c>
      <c r="D33">
        <v>1.12565</v>
      </c>
      <c r="E33">
        <v>-1.0424100000000001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AE70-8327-43DA-AEE3-0A3F99DDD556}">
  <dimension ref="A1:K64"/>
  <sheetViews>
    <sheetView tabSelected="1" topLeftCell="A4" workbookViewId="0">
      <selection activeCell="P17" sqref="P17"/>
    </sheetView>
  </sheetViews>
  <sheetFormatPr defaultRowHeight="15" x14ac:dyDescent="0.25"/>
  <cols>
    <col min="1" max="1" width="16.28515625" customWidth="1"/>
  </cols>
  <sheetData>
    <row r="1" spans="1:11" x14ac:dyDescent="0.25">
      <c r="A1" t="s">
        <v>3</v>
      </c>
      <c r="B1" t="s">
        <v>4</v>
      </c>
      <c r="C1" t="s">
        <v>5</v>
      </c>
      <c r="D1" t="s">
        <v>85</v>
      </c>
      <c r="E1" t="s">
        <v>0</v>
      </c>
      <c r="F1" t="s">
        <v>92</v>
      </c>
      <c r="G1" t="s">
        <v>93</v>
      </c>
      <c r="H1" t="s">
        <v>94</v>
      </c>
      <c r="I1" t="s">
        <v>95</v>
      </c>
      <c r="J1" t="s">
        <v>97</v>
      </c>
      <c r="K1" t="s">
        <v>100</v>
      </c>
    </row>
    <row r="2" spans="1:11" x14ac:dyDescent="0.25">
      <c r="A2">
        <v>20</v>
      </c>
      <c r="B2">
        <v>10</v>
      </c>
      <c r="C2">
        <v>5000</v>
      </c>
      <c r="D2">
        <v>0.6</v>
      </c>
      <c r="E2">
        <v>0.5</v>
      </c>
      <c r="F2">
        <v>0</v>
      </c>
      <c r="G2">
        <v>1</v>
      </c>
      <c r="H2" s="2" t="s">
        <v>124</v>
      </c>
      <c r="I2" t="s">
        <v>96</v>
      </c>
      <c r="J2" t="s">
        <v>98</v>
      </c>
      <c r="K2" t="s">
        <v>125</v>
      </c>
    </row>
    <row r="4" spans="1:11" x14ac:dyDescent="0.25">
      <c r="A4" t="s">
        <v>86</v>
      </c>
      <c r="B4">
        <v>0.4</v>
      </c>
      <c r="C4" t="s">
        <v>87</v>
      </c>
    </row>
    <row r="5" spans="1:11" x14ac:dyDescent="0.25">
      <c r="A5" t="s">
        <v>89</v>
      </c>
      <c r="B5">
        <v>0.4</v>
      </c>
      <c r="C5" t="s">
        <v>88</v>
      </c>
    </row>
    <row r="6" spans="1:11" x14ac:dyDescent="0.25">
      <c r="A6" t="s">
        <v>90</v>
      </c>
      <c r="B6">
        <v>0.55320000000000003</v>
      </c>
    </row>
    <row r="8" spans="1:11" x14ac:dyDescent="0.25"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126</v>
      </c>
    </row>
    <row r="9" spans="1:11" x14ac:dyDescent="0.25">
      <c r="A9" t="s">
        <v>13</v>
      </c>
      <c r="B9">
        <v>-4</v>
      </c>
      <c r="C9">
        <v>2</v>
      </c>
      <c r="D9">
        <v>-0.15</v>
      </c>
      <c r="E9">
        <v>1</v>
      </c>
      <c r="F9">
        <v>-1</v>
      </c>
    </row>
    <row r="10" spans="1:11" x14ac:dyDescent="0.25">
      <c r="A10" t="s">
        <v>33</v>
      </c>
      <c r="B10">
        <f>AVERAGE(B15:B65)</f>
        <v>-3.9465711714446585</v>
      </c>
      <c r="C10">
        <f t="shared" ref="C10:F10" si="0">AVERAGE(C15:C65)</f>
        <v>2.0470697050665816</v>
      </c>
      <c r="D10">
        <f t="shared" si="0"/>
        <v>-0.14376262922841343</v>
      </c>
      <c r="E10">
        <f t="shared" si="0"/>
        <v>1.0902205211340732</v>
      </c>
      <c r="F10">
        <f t="shared" si="0"/>
        <v>-1.0491104705499905</v>
      </c>
      <c r="G10">
        <f t="shared" ref="G10" si="1">AVERAGE(G15:G65)</f>
        <v>129.13874001502947</v>
      </c>
    </row>
    <row r="11" spans="1:11" x14ac:dyDescent="0.25">
      <c r="A11" t="s">
        <v>84</v>
      </c>
      <c r="B11">
        <f>_xlfn.STDEV.P(B15:B65)</f>
        <v>0.31105212961040807</v>
      </c>
      <c r="C11">
        <f t="shared" ref="C11:F11" si="2">_xlfn.STDEV.P(C15:C65)</f>
        <v>5.0289179792561665E-2</v>
      </c>
      <c r="D11">
        <f t="shared" si="2"/>
        <v>1.7950338686651146E-3</v>
      </c>
      <c r="E11">
        <f t="shared" si="2"/>
        <v>4.2874035503553939E-2</v>
      </c>
      <c r="F11">
        <f t="shared" si="2"/>
        <v>1.1661603891090888E-2</v>
      </c>
      <c r="G11">
        <f t="shared" ref="G11" si="3">_xlfn.STDEV.P(G15:G65)</f>
        <v>20.138999534967546</v>
      </c>
    </row>
    <row r="15" spans="1:11" x14ac:dyDescent="0.25">
      <c r="A15" t="s">
        <v>34</v>
      </c>
      <c r="B15">
        <v>-3.6591160107457998</v>
      </c>
      <c r="C15">
        <v>2.0440500906341899</v>
      </c>
      <c r="D15">
        <v>-0.144876273124002</v>
      </c>
      <c r="E15">
        <v>1.16225864247563</v>
      </c>
      <c r="F15">
        <v>-1.0690871320716799</v>
      </c>
      <c r="G15">
        <v>109.706000089645</v>
      </c>
    </row>
    <row r="16" spans="1:11" x14ac:dyDescent="0.25">
      <c r="A16" t="s">
        <v>35</v>
      </c>
      <c r="B16">
        <v>-4.1813218859708101</v>
      </c>
      <c r="C16">
        <v>2.0598305723910002</v>
      </c>
      <c r="D16">
        <v>-0.14432787270088099</v>
      </c>
      <c r="E16">
        <v>1.08905397610663</v>
      </c>
      <c r="F16">
        <v>-1.0462421512375499</v>
      </c>
      <c r="G16">
        <v>111.20799994468599</v>
      </c>
    </row>
    <row r="17" spans="1:7" x14ac:dyDescent="0.25">
      <c r="A17" t="s">
        <v>36</v>
      </c>
      <c r="B17">
        <v>-4.3929819558041299</v>
      </c>
      <c r="C17">
        <v>2.0563251920449499</v>
      </c>
      <c r="D17">
        <v>-0.143903030882929</v>
      </c>
      <c r="E17">
        <v>1.10326453482093</v>
      </c>
      <c r="F17">
        <v>-1.0488839366950999</v>
      </c>
      <c r="G17">
        <v>93.269999980926499</v>
      </c>
    </row>
    <row r="18" spans="1:7" x14ac:dyDescent="0.25">
      <c r="A18" t="s">
        <v>37</v>
      </c>
      <c r="B18">
        <v>-3.8259201104884202</v>
      </c>
      <c r="C18">
        <v>2.0051836448682598</v>
      </c>
      <c r="D18">
        <v>-0.14348814600666701</v>
      </c>
      <c r="E18">
        <v>1.12924401750722</v>
      </c>
      <c r="F18">
        <v>-1.0348190259396599</v>
      </c>
      <c r="G18">
        <v>82.468000173568697</v>
      </c>
    </row>
    <row r="19" spans="1:7" x14ac:dyDescent="0.25">
      <c r="A19" t="s">
        <v>38</v>
      </c>
      <c r="B19">
        <v>-3.66695173557236</v>
      </c>
      <c r="C19">
        <v>2.04349158151066</v>
      </c>
      <c r="D19">
        <v>-0.14481331502254399</v>
      </c>
      <c r="E19">
        <v>1.1246120621401501</v>
      </c>
      <c r="F19">
        <v>-1.06175969845746</v>
      </c>
      <c r="G19">
        <v>125.27899980545</v>
      </c>
    </row>
    <row r="20" spans="1:7" x14ac:dyDescent="0.25">
      <c r="A20" t="s">
        <v>39</v>
      </c>
      <c r="B20">
        <v>-4.0218793951632703</v>
      </c>
      <c r="C20">
        <v>2.06219248084341</v>
      </c>
      <c r="D20">
        <v>-0.14376202781515701</v>
      </c>
      <c r="E20">
        <v>1.1214767477936101</v>
      </c>
      <c r="F20">
        <v>-1.0563696789119501</v>
      </c>
      <c r="G20">
        <v>116.328999996185</v>
      </c>
    </row>
    <row r="21" spans="1:7" x14ac:dyDescent="0.25">
      <c r="A21" t="s">
        <v>40</v>
      </c>
      <c r="B21">
        <v>-4.3499415279099898</v>
      </c>
      <c r="C21">
        <v>2.10303271647135</v>
      </c>
      <c r="D21">
        <v>-0.14471510233816701</v>
      </c>
      <c r="E21">
        <v>0.98059107108144306</v>
      </c>
      <c r="F21">
        <v>-1.0431729421790199</v>
      </c>
      <c r="G21">
        <v>108.554000139236</v>
      </c>
    </row>
    <row r="22" spans="1:7" x14ac:dyDescent="0.25">
      <c r="A22" t="s">
        <v>41</v>
      </c>
      <c r="B22">
        <v>-3.5367116007506398</v>
      </c>
      <c r="C22">
        <v>2.0763923135401301</v>
      </c>
      <c r="D22">
        <v>-0.14334868017993299</v>
      </c>
      <c r="E22">
        <v>1.0560624854738001</v>
      </c>
      <c r="F22">
        <v>-1.0437320878024701</v>
      </c>
      <c r="G22">
        <v>138.24099993705701</v>
      </c>
    </row>
    <row r="23" spans="1:7" x14ac:dyDescent="0.25">
      <c r="A23" t="s">
        <v>42</v>
      </c>
      <c r="B23">
        <v>-3.99649034374796</v>
      </c>
      <c r="C23">
        <v>1.9852211037543599</v>
      </c>
      <c r="D23">
        <v>-0.139933863028116</v>
      </c>
      <c r="E23">
        <v>1.1488643668109599</v>
      </c>
      <c r="F23">
        <v>-1.0439251960594</v>
      </c>
      <c r="G23">
        <v>104.109999895095</v>
      </c>
    </row>
    <row r="24" spans="1:7" x14ac:dyDescent="0.25">
      <c r="A24" t="s">
        <v>43</v>
      </c>
      <c r="B24">
        <v>-3.7273039015938298</v>
      </c>
      <c r="C24">
        <v>2.03239742507284</v>
      </c>
      <c r="D24">
        <v>-0.143630079338606</v>
      </c>
      <c r="E24">
        <v>1.11686028612871</v>
      </c>
      <c r="F24">
        <v>-1.0453277446362499</v>
      </c>
      <c r="G24">
        <v>130.992000102996</v>
      </c>
    </row>
    <row r="25" spans="1:7" x14ac:dyDescent="0.25">
      <c r="A25" t="s">
        <v>44</v>
      </c>
      <c r="B25">
        <v>-3.6797662038937702</v>
      </c>
      <c r="C25">
        <v>2.0605824989344601</v>
      </c>
      <c r="D25">
        <v>-0.14107834674365899</v>
      </c>
      <c r="E25">
        <v>1.0814036655261601</v>
      </c>
      <c r="F25">
        <v>-1.05924370839218</v>
      </c>
      <c r="G25">
        <v>130.119999885559</v>
      </c>
    </row>
    <row r="26" spans="1:7" x14ac:dyDescent="0.25">
      <c r="A26" t="s">
        <v>45</v>
      </c>
      <c r="B26">
        <v>-3.9242347542690799</v>
      </c>
      <c r="C26">
        <v>2.0214973774497902</v>
      </c>
      <c r="D26">
        <v>-0.14413739159269301</v>
      </c>
      <c r="E26">
        <v>1.1455021629311</v>
      </c>
      <c r="F26">
        <v>-1.04791922778308</v>
      </c>
      <c r="G26">
        <v>111.184999942779</v>
      </c>
    </row>
    <row r="27" spans="1:7" x14ac:dyDescent="0.25">
      <c r="A27" t="s">
        <v>46</v>
      </c>
      <c r="B27">
        <v>-3.55130742478533</v>
      </c>
      <c r="C27">
        <v>2.0572382962367501</v>
      </c>
      <c r="D27">
        <v>-0.145243292676381</v>
      </c>
      <c r="E27">
        <v>1.0495804486032001</v>
      </c>
      <c r="F27">
        <v>-1.0354120185005</v>
      </c>
      <c r="G27">
        <v>140.361999988555</v>
      </c>
    </row>
    <row r="28" spans="1:7" x14ac:dyDescent="0.25">
      <c r="A28" t="s">
        <v>47</v>
      </c>
      <c r="B28">
        <v>-4.41592279708071</v>
      </c>
      <c r="C28">
        <v>2.0880655923310099</v>
      </c>
      <c r="D28">
        <v>-0.14127169546913701</v>
      </c>
      <c r="E28">
        <v>1.0083208273199999</v>
      </c>
      <c r="F28">
        <v>-1.04993720505497</v>
      </c>
      <c r="G28">
        <v>113.66200017929</v>
      </c>
    </row>
    <row r="29" spans="1:7" x14ac:dyDescent="0.25">
      <c r="A29" t="s">
        <v>48</v>
      </c>
      <c r="B29">
        <v>-4.2083457711588697</v>
      </c>
      <c r="C29">
        <v>2.0495655347890298</v>
      </c>
      <c r="D29">
        <v>-0.147149336146952</v>
      </c>
      <c r="E29">
        <v>1.04100636684092</v>
      </c>
      <c r="F29">
        <v>-1.0332827253211001</v>
      </c>
      <c r="G29">
        <v>134.88100004196099</v>
      </c>
    </row>
    <row r="30" spans="1:7" x14ac:dyDescent="0.25">
      <c r="A30" t="s">
        <v>49</v>
      </c>
      <c r="B30">
        <v>-4.0724535033852103</v>
      </c>
      <c r="C30">
        <v>2.0896120661837898</v>
      </c>
      <c r="D30">
        <v>-0.14642266375863</v>
      </c>
      <c r="E30">
        <v>1.08795902435071</v>
      </c>
      <c r="F30">
        <v>-1.05119241998504</v>
      </c>
      <c r="G30">
        <v>112.792000055313</v>
      </c>
    </row>
    <row r="31" spans="1:7" x14ac:dyDescent="0.25">
      <c r="A31" t="s">
        <v>50</v>
      </c>
      <c r="B31">
        <v>-3.75559528880486</v>
      </c>
      <c r="C31">
        <v>1.9660921026659699</v>
      </c>
      <c r="D31">
        <v>-0.14318046018251901</v>
      </c>
      <c r="E31">
        <v>1.1458276963237799</v>
      </c>
      <c r="F31">
        <v>-1.03945260479873</v>
      </c>
      <c r="G31">
        <v>119.18100023269599</v>
      </c>
    </row>
    <row r="32" spans="1:7" x14ac:dyDescent="0.25">
      <c r="A32" t="s">
        <v>51</v>
      </c>
      <c r="B32">
        <v>-3.5406657317202299</v>
      </c>
      <c r="C32">
        <v>2.0194916737028299</v>
      </c>
      <c r="D32">
        <v>-0.14452245316707599</v>
      </c>
      <c r="E32">
        <v>1.15846632311569</v>
      </c>
      <c r="F32">
        <v>-1.0467663935094</v>
      </c>
      <c r="G32">
        <v>113.33000016212399</v>
      </c>
    </row>
    <row r="33" spans="1:7" x14ac:dyDescent="0.25">
      <c r="A33" t="s">
        <v>52</v>
      </c>
      <c r="B33">
        <v>-4.1426798397709002</v>
      </c>
      <c r="C33">
        <v>2.0480331913579901</v>
      </c>
      <c r="D33">
        <v>-0.141392147117371</v>
      </c>
      <c r="E33">
        <v>1.12446654762719</v>
      </c>
      <c r="F33">
        <v>-1.05580711190534</v>
      </c>
      <c r="G33">
        <v>106.141000032424</v>
      </c>
    </row>
    <row r="34" spans="1:7" x14ac:dyDescent="0.25">
      <c r="A34" t="s">
        <v>53</v>
      </c>
      <c r="B34">
        <v>-3.8973279864178201</v>
      </c>
      <c r="C34">
        <v>2.0925494369873499</v>
      </c>
      <c r="D34">
        <v>-0.14276962615094099</v>
      </c>
      <c r="E34">
        <v>1.0970555506130499</v>
      </c>
      <c r="F34">
        <v>-1.07237406293702</v>
      </c>
      <c r="G34">
        <v>113.08400011062599</v>
      </c>
    </row>
    <row r="35" spans="1:7" x14ac:dyDescent="0.25">
      <c r="A35" t="s">
        <v>54</v>
      </c>
      <c r="B35">
        <v>-3.7112941717258399</v>
      </c>
      <c r="C35">
        <v>2.0738006908698501</v>
      </c>
      <c r="D35">
        <v>-0.14480379460670501</v>
      </c>
      <c r="E35">
        <v>1.0762466364009899</v>
      </c>
      <c r="F35">
        <v>-1.06416471693569</v>
      </c>
      <c r="G35">
        <v>129.16400003433199</v>
      </c>
    </row>
    <row r="36" spans="1:7" x14ac:dyDescent="0.25">
      <c r="A36" t="s">
        <v>55</v>
      </c>
      <c r="B36">
        <v>-4.3358089617504598</v>
      </c>
      <c r="C36">
        <v>1.87344619138864</v>
      </c>
      <c r="D36">
        <v>-0.14092961050258901</v>
      </c>
      <c r="E36">
        <v>1.17624875079577</v>
      </c>
      <c r="F36">
        <v>-1.02097741614594</v>
      </c>
      <c r="G36">
        <v>122.217000007629</v>
      </c>
    </row>
    <row r="37" spans="1:7" x14ac:dyDescent="0.25">
      <c r="A37" t="s">
        <v>56</v>
      </c>
      <c r="B37">
        <v>-3.9925245836285499</v>
      </c>
      <c r="C37">
        <v>2.1201473740185599</v>
      </c>
      <c r="D37">
        <v>-0.14279499216201699</v>
      </c>
      <c r="E37">
        <v>1.03038855156578</v>
      </c>
      <c r="F37">
        <v>-1.05912305819191</v>
      </c>
      <c r="G37">
        <v>129.79099988937301</v>
      </c>
    </row>
    <row r="38" spans="1:7" x14ac:dyDescent="0.25">
      <c r="A38" t="s">
        <v>57</v>
      </c>
      <c r="B38">
        <v>-3.7734550142213701</v>
      </c>
      <c r="C38">
        <v>2.06133611275173</v>
      </c>
      <c r="D38">
        <v>-0.14728813580228101</v>
      </c>
      <c r="E38">
        <v>1.07270820675665</v>
      </c>
      <c r="F38">
        <v>-1.0353248498594101</v>
      </c>
      <c r="G38">
        <v>131.931999921798</v>
      </c>
    </row>
    <row r="39" spans="1:7" x14ac:dyDescent="0.25">
      <c r="A39" t="s">
        <v>58</v>
      </c>
      <c r="B39">
        <v>-3.6823045751447299</v>
      </c>
      <c r="C39">
        <v>2.0807857586829401</v>
      </c>
      <c r="D39">
        <v>-0.143962790367652</v>
      </c>
      <c r="E39">
        <v>1.07288124073741</v>
      </c>
      <c r="F39">
        <v>-1.0674397008190799</v>
      </c>
      <c r="G39">
        <v>137.56700015068</v>
      </c>
    </row>
    <row r="40" spans="1:7" x14ac:dyDescent="0.25">
      <c r="A40" t="s">
        <v>59</v>
      </c>
      <c r="B40">
        <v>-4.3090107183937096</v>
      </c>
      <c r="C40">
        <v>2.0813596780552501</v>
      </c>
      <c r="D40">
        <v>-0.143837907500176</v>
      </c>
      <c r="E40">
        <v>1.0537958351352701</v>
      </c>
      <c r="F40">
        <v>-1.0711850345431599</v>
      </c>
      <c r="G40">
        <v>150.79699993133499</v>
      </c>
    </row>
    <row r="41" spans="1:7" x14ac:dyDescent="0.25">
      <c r="A41" t="s">
        <v>60</v>
      </c>
      <c r="B41">
        <v>-4.3979585537668404</v>
      </c>
      <c r="C41">
        <v>2.0732918530141</v>
      </c>
      <c r="D41">
        <v>-0.14282614223927201</v>
      </c>
      <c r="E41">
        <v>1.0519327817166999</v>
      </c>
      <c r="F41">
        <v>-1.0529894985641199</v>
      </c>
      <c r="G41">
        <v>144.27900004386899</v>
      </c>
    </row>
    <row r="42" spans="1:7" x14ac:dyDescent="0.25">
      <c r="A42" t="s">
        <v>61</v>
      </c>
      <c r="B42">
        <v>-4.30900662010131</v>
      </c>
      <c r="C42">
        <v>2.0364989075117301</v>
      </c>
      <c r="D42">
        <v>-0.14366940460121999</v>
      </c>
      <c r="E42">
        <v>1.0564792483094201</v>
      </c>
      <c r="F42">
        <v>-1.04422041527433</v>
      </c>
      <c r="G42">
        <v>157.32399988174399</v>
      </c>
    </row>
    <row r="43" spans="1:7" x14ac:dyDescent="0.25">
      <c r="A43" t="s">
        <v>62</v>
      </c>
      <c r="B43">
        <v>-3.7418844361210701</v>
      </c>
      <c r="C43">
        <v>2.0091096709822698</v>
      </c>
      <c r="D43">
        <v>-0.144169879188637</v>
      </c>
      <c r="E43">
        <v>1.11499487804155</v>
      </c>
      <c r="F43">
        <v>-1.04056365446374</v>
      </c>
      <c r="G43">
        <v>121.282000064849</v>
      </c>
    </row>
    <row r="44" spans="1:7" x14ac:dyDescent="0.25">
      <c r="A44" t="s">
        <v>63</v>
      </c>
      <c r="B44">
        <v>-3.5029853969699101</v>
      </c>
      <c r="C44">
        <v>2.04468487131563</v>
      </c>
      <c r="D44">
        <v>-0.14371263328234499</v>
      </c>
      <c r="E44">
        <v>1.1224066476218799</v>
      </c>
      <c r="F44">
        <v>-1.0503776420911399</v>
      </c>
      <c r="G44">
        <v>128.214000225067</v>
      </c>
    </row>
    <row r="45" spans="1:7" x14ac:dyDescent="0.25">
      <c r="A45" t="s">
        <v>64</v>
      </c>
      <c r="B45">
        <v>-4.4349119880706098</v>
      </c>
      <c r="C45">
        <v>2.0100117679863398</v>
      </c>
      <c r="D45">
        <v>-0.14158054622524199</v>
      </c>
      <c r="E45">
        <v>1.0828565637223899</v>
      </c>
      <c r="F45">
        <v>-1.0496864577969001</v>
      </c>
      <c r="G45">
        <v>148.18899989128099</v>
      </c>
    </row>
    <row r="46" spans="1:7" x14ac:dyDescent="0.25">
      <c r="A46" t="s">
        <v>65</v>
      </c>
      <c r="B46">
        <v>-3.9233465650757999</v>
      </c>
      <c r="C46">
        <v>2.0993556640095998</v>
      </c>
      <c r="D46">
        <v>-0.14673429733200999</v>
      </c>
      <c r="E46">
        <v>1.0226546613918599</v>
      </c>
      <c r="F46">
        <v>-1.0377801411698</v>
      </c>
      <c r="G46">
        <v>117.22099995613</v>
      </c>
    </row>
    <row r="47" spans="1:7" x14ac:dyDescent="0.25">
      <c r="A47" t="s">
        <v>66</v>
      </c>
      <c r="B47">
        <v>-4.1120104126044197</v>
      </c>
      <c r="C47">
        <v>2.0069336358138998</v>
      </c>
      <c r="D47">
        <v>-0.13979722569048</v>
      </c>
      <c r="E47">
        <v>1.1112667218863199</v>
      </c>
      <c r="F47">
        <v>-1.05488989311101</v>
      </c>
      <c r="G47">
        <v>151.73199987411499</v>
      </c>
    </row>
    <row r="48" spans="1:7" x14ac:dyDescent="0.25">
      <c r="A48" t="s">
        <v>67</v>
      </c>
      <c r="B48">
        <v>-3.89966072142396</v>
      </c>
      <c r="C48">
        <v>2.0241899356926001</v>
      </c>
      <c r="D48">
        <v>-0.14321566165657301</v>
      </c>
      <c r="E48">
        <v>1.12673435713351</v>
      </c>
      <c r="F48">
        <v>-1.05606842266321</v>
      </c>
      <c r="G48">
        <v>120.65799999236999</v>
      </c>
    </row>
    <row r="49" spans="1:7" x14ac:dyDescent="0.25">
      <c r="A49" t="s">
        <v>68</v>
      </c>
      <c r="B49">
        <v>-3.6246372679059098</v>
      </c>
      <c r="C49">
        <v>2.0713538306397101</v>
      </c>
      <c r="D49">
        <v>-0.144713907252738</v>
      </c>
      <c r="E49">
        <v>1.0705874343353099</v>
      </c>
      <c r="F49">
        <v>-1.05869619720884</v>
      </c>
      <c r="G49">
        <v>155.022000074386</v>
      </c>
    </row>
    <row r="50" spans="1:7" x14ac:dyDescent="0.25">
      <c r="A50" t="s">
        <v>69</v>
      </c>
      <c r="B50">
        <v>-4.2140852785842204</v>
      </c>
      <c r="C50">
        <v>2.1299261163229799</v>
      </c>
      <c r="D50">
        <v>-0.14545716345924201</v>
      </c>
      <c r="E50">
        <v>1.0835916473904099</v>
      </c>
      <c r="F50">
        <v>-1.0689976035406801</v>
      </c>
      <c r="G50">
        <v>98.183000087737994</v>
      </c>
    </row>
    <row r="51" spans="1:7" x14ac:dyDescent="0.25">
      <c r="A51" t="s">
        <v>70</v>
      </c>
      <c r="B51">
        <v>-4.4663662977578902</v>
      </c>
      <c r="C51">
        <v>1.98264492582979</v>
      </c>
      <c r="D51">
        <v>-0.141901474345874</v>
      </c>
      <c r="E51">
        <v>1.0797696192436299</v>
      </c>
      <c r="F51">
        <v>-1.03289335271186</v>
      </c>
      <c r="G51">
        <v>162.43400001525799</v>
      </c>
    </row>
    <row r="52" spans="1:7" x14ac:dyDescent="0.25">
      <c r="A52" t="s">
        <v>71</v>
      </c>
      <c r="B52">
        <v>-3.7601898728919601</v>
      </c>
      <c r="C52">
        <v>2.0767549920531199</v>
      </c>
      <c r="D52">
        <v>-0.145972922766689</v>
      </c>
      <c r="E52">
        <v>1.0514685944512601</v>
      </c>
      <c r="F52">
        <v>-1.0438881755626199</v>
      </c>
      <c r="G52">
        <v>159.41199994087199</v>
      </c>
    </row>
    <row r="53" spans="1:7" x14ac:dyDescent="0.25">
      <c r="A53" t="s">
        <v>72</v>
      </c>
      <c r="B53">
        <v>-3.5219789762325999</v>
      </c>
      <c r="C53">
        <v>2.0518031603367501</v>
      </c>
      <c r="D53">
        <v>-0.144423288522085</v>
      </c>
      <c r="E53">
        <v>1.07403456679335</v>
      </c>
      <c r="F53">
        <v>-1.0421206221607999</v>
      </c>
      <c r="G53">
        <v>153.207000017166</v>
      </c>
    </row>
    <row r="54" spans="1:7" x14ac:dyDescent="0.25">
      <c r="A54" t="s">
        <v>73</v>
      </c>
      <c r="B54">
        <v>-4.4111443883129198</v>
      </c>
      <c r="C54">
        <v>2.05837369044652</v>
      </c>
      <c r="D54">
        <v>-0.14261903636199499</v>
      </c>
      <c r="E54">
        <v>1.10286662671475</v>
      </c>
      <c r="F54">
        <v>-1.0579704050512699</v>
      </c>
      <c r="G54">
        <v>151.68799996376001</v>
      </c>
    </row>
    <row r="55" spans="1:7" x14ac:dyDescent="0.25">
      <c r="A55" t="s">
        <v>74</v>
      </c>
      <c r="B55">
        <v>-3.5014032275416498</v>
      </c>
      <c r="C55">
        <v>1.9286494987112599</v>
      </c>
      <c r="D55">
        <v>-0.14427765436988901</v>
      </c>
      <c r="E55">
        <v>1.1523408909067101</v>
      </c>
      <c r="F55">
        <v>-1.03609203997305</v>
      </c>
      <c r="G55">
        <v>159.389000177383</v>
      </c>
    </row>
    <row r="56" spans="1:7" x14ac:dyDescent="0.25">
      <c r="A56" t="s">
        <v>75</v>
      </c>
      <c r="B56">
        <v>-3.5998647921556501</v>
      </c>
      <c r="C56">
        <v>2.1477241037153898</v>
      </c>
      <c r="D56">
        <v>-0.145942002123606</v>
      </c>
      <c r="E56">
        <v>1.02417407887005</v>
      </c>
      <c r="F56">
        <v>-1.0644877363761001</v>
      </c>
      <c r="G56">
        <v>163.526999950408</v>
      </c>
    </row>
    <row r="57" spans="1:7" x14ac:dyDescent="0.25">
      <c r="A57" t="s">
        <v>76</v>
      </c>
      <c r="B57">
        <v>-4.4312968690153296</v>
      </c>
      <c r="C57">
        <v>2.1209327894203498</v>
      </c>
      <c r="D57">
        <v>-0.145709390139283</v>
      </c>
      <c r="E57">
        <v>1.0714047714405599</v>
      </c>
      <c r="F57">
        <v>-1.05904885665366</v>
      </c>
      <c r="G57">
        <v>155.424999952316</v>
      </c>
    </row>
    <row r="58" spans="1:7" x14ac:dyDescent="0.25">
      <c r="A58" t="s">
        <v>77</v>
      </c>
      <c r="B58">
        <v>-3.53307820309906</v>
      </c>
      <c r="C58">
        <v>2.0181138217929999</v>
      </c>
      <c r="D58">
        <v>-0.14382897900814201</v>
      </c>
      <c r="E58">
        <v>1.10681420177137</v>
      </c>
      <c r="F58">
        <v>-1.0407116134772301</v>
      </c>
      <c r="G58">
        <v>140.90599989891001</v>
      </c>
    </row>
    <row r="59" spans="1:7" x14ac:dyDescent="0.25">
      <c r="A59" t="s">
        <v>78</v>
      </c>
      <c r="B59">
        <v>-4.3842393167431002</v>
      </c>
      <c r="C59">
        <v>2.0123239643037198</v>
      </c>
      <c r="D59">
        <v>-0.146283467260892</v>
      </c>
      <c r="E59">
        <v>1.1038611841578601</v>
      </c>
      <c r="F59">
        <v>-1.0267347977713901</v>
      </c>
      <c r="G59">
        <v>138.387000083923</v>
      </c>
    </row>
    <row r="60" spans="1:7" x14ac:dyDescent="0.25">
      <c r="A60" t="s">
        <v>79</v>
      </c>
      <c r="B60">
        <v>-3.6627191783780702</v>
      </c>
      <c r="C60">
        <v>2.0367348902488902</v>
      </c>
      <c r="D60">
        <v>-0.14449457945341801</v>
      </c>
      <c r="E60">
        <v>1.1138535406744701</v>
      </c>
      <c r="F60">
        <v>-1.0551753048549699</v>
      </c>
      <c r="G60">
        <v>137.51099991798401</v>
      </c>
    </row>
    <row r="61" spans="1:7" x14ac:dyDescent="0.25">
      <c r="A61" t="s">
        <v>80</v>
      </c>
      <c r="B61">
        <v>-3.8431975855312501</v>
      </c>
      <c r="C61">
        <v>1.9758130971523999</v>
      </c>
      <c r="D61">
        <v>-0.14185563626185699</v>
      </c>
      <c r="E61">
        <v>1.12990229262218</v>
      </c>
      <c r="F61">
        <v>-1.0400697790829001</v>
      </c>
      <c r="G61">
        <v>117.75500011443999</v>
      </c>
    </row>
    <row r="62" spans="1:7" x14ac:dyDescent="0.25">
      <c r="A62" t="s">
        <v>81</v>
      </c>
      <c r="B62">
        <v>-4.1014095012084999</v>
      </c>
      <c r="C62">
        <v>2.0697513523786899</v>
      </c>
      <c r="D62">
        <v>-0.14407495850150601</v>
      </c>
      <c r="E62">
        <v>1.09772843319789</v>
      </c>
      <c r="F62">
        <v>-1.04740679184589</v>
      </c>
      <c r="G62">
        <v>121.161000013351</v>
      </c>
    </row>
    <row r="63" spans="1:7" x14ac:dyDescent="0.25">
      <c r="A63" t="s">
        <v>82</v>
      </c>
      <c r="B63">
        <v>-3.7179865072429101</v>
      </c>
      <c r="C63">
        <v>2.1078335506771899</v>
      </c>
      <c r="D63">
        <v>-0.14327376935157701</v>
      </c>
      <c r="E63">
        <v>1.01822589089379</v>
      </c>
      <c r="F63">
        <v>-1.0512841995734299</v>
      </c>
      <c r="G63">
        <v>147.78099989891001</v>
      </c>
    </row>
    <row r="64" spans="1:7" x14ac:dyDescent="0.25">
      <c r="A64" t="s">
        <v>83</v>
      </c>
      <c r="B64">
        <v>-3.8818808215993701</v>
      </c>
      <c r="C64">
        <v>2.00895446543608</v>
      </c>
      <c r="D64">
        <v>-0.14001440764232001</v>
      </c>
      <c r="E64">
        <v>1.0869303984337</v>
      </c>
      <c r="F64">
        <v>-1.04044807784751</v>
      </c>
      <c r="G64">
        <v>89.887000083923297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60FCD9-4215-41E3-B283-09DF316CD3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MC1</vt:lpstr>
      <vt:lpstr>MC2</vt:lpstr>
      <vt:lpstr>test_MC2</vt:lpstr>
      <vt:lpstr>MC3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Michelini</dc:creator>
  <cp:lastModifiedBy>Martin Michelini</cp:lastModifiedBy>
  <dcterms:created xsi:type="dcterms:W3CDTF">2025-02-25T17:53:37Z</dcterms:created>
  <dcterms:modified xsi:type="dcterms:W3CDTF">2025-03-10T21:54:55Z</dcterms:modified>
</cp:coreProperties>
</file>